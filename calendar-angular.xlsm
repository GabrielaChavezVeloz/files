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109"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amedeloitte.sharepoint.com/sites/Java312-Angular-Academy/Shared Documents/Angular-Academy/"/>
    </mc:Choice>
  </mc:AlternateContent>
  <xr:revisionPtr revIDLastSave="1192" documentId="8_{2097880E-1A62-464C-B7DC-8B49F05A2B8C}" xr6:coauthVersionLast="47" xr6:coauthVersionMax="47" xr10:uidLastSave="{C2698B1A-2306-4D55-97B0-7C11591B9288}"/>
  <bookViews>
    <workbookView xWindow="-120" yWindow="-120" windowWidth="29040" windowHeight="15840" firstSheet="4" activeTab="2" xr2:uid="{00000000-000D-0000-FFFF-FFFF00000000}"/>
  </bookViews>
  <sheets>
    <sheet name="Information" sheetId="4" r:id="rId1"/>
    <sheet name="Content" sheetId="2" r:id="rId2"/>
    <sheet name="Calendar" sheetId="1" r:id="rId3"/>
    <sheet name="Training" sheetId="5" r:id="rId4"/>
    <sheet name="holidays" sheetId="3"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2" i="1" l="1"/>
  <c r="M23" i="1"/>
  <c r="G23" i="5" a="1"/>
  <c r="G23" i="5"/>
  <c r="H23" i="5" a="1"/>
  <c r="H23" i="5"/>
  <c r="I23" i="5" a="1"/>
  <c r="I23" i="5"/>
  <c r="F23" i="5" s="1"/>
  <c r="J23" i="5"/>
  <c r="K23" i="5" a="1"/>
  <c r="K23" i="5"/>
  <c r="L23" i="5" a="1"/>
  <c r="L23" i="5"/>
  <c r="N29" i="2"/>
  <c r="L22" i="5" a="1"/>
  <c r="L22" i="5"/>
  <c r="K22" i="5" a="1"/>
  <c r="K22" i="5"/>
  <c r="I22" i="5" a="1"/>
  <c r="I22" i="5"/>
  <c r="H22" i="5" a="1"/>
  <c r="H22" i="5"/>
  <c r="G22" i="5" a="1"/>
  <c r="G22" i="5"/>
  <c r="J22" i="5"/>
  <c r="F22" i="5"/>
  <c r="L17" i="5" a="1"/>
  <c r="L17" i="5"/>
  <c r="G17" i="5" a="1"/>
  <c r="G17" i="5"/>
  <c r="H17" i="5" a="1"/>
  <c r="H17" i="5"/>
  <c r="I17" i="5" a="1"/>
  <c r="I17" i="5"/>
  <c r="F17" i="5" s="1"/>
  <c r="J17" i="5"/>
  <c r="F14" i="5"/>
  <c r="J21" i="5"/>
  <c r="O38" i="2"/>
  <c r="K36" i="2"/>
  <c r="J45" i="1"/>
  <c r="L45" i="1"/>
  <c r="O45" i="1"/>
  <c r="T49" i="1"/>
  <c r="T51" i="1"/>
  <c r="V51" i="1"/>
  <c r="Q53" i="1"/>
  <c r="V57" i="1"/>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G9" i="2"/>
  <c r="G10" i="2"/>
  <c r="G11" i="2"/>
  <c r="G12" i="2"/>
  <c r="G13" i="2"/>
  <c r="G14" i="2"/>
  <c r="G15" i="2"/>
  <c r="G16" i="2"/>
  <c r="G17" i="2"/>
  <c r="G18" i="2"/>
  <c r="G19" i="2"/>
  <c r="G20" i="2"/>
  <c r="G21" i="2"/>
  <c r="G22" i="2"/>
  <c r="G23" i="2"/>
  <c r="G24" i="2"/>
  <c r="G25" i="2"/>
  <c r="G26" i="2"/>
  <c r="G15" i="5" a="1"/>
  <c r="G15" i="5"/>
  <c r="H15" i="5" a="1"/>
  <c r="H15" i="5"/>
  <c r="M10" i="5"/>
  <c r="N27" i="2"/>
  <c r="N44" i="2"/>
  <c r="P21" i="2"/>
  <c r="N8" i="5" a="1"/>
  <c r="K21" i="5" s="1" a="1"/>
  <c r="K21" i="5" s="1"/>
  <c r="N9" i="5" a="1"/>
  <c r="N9" i="5" s="1"/>
  <c r="H21" i="5" a="1"/>
  <c r="H21" i="5" s="1"/>
  <c r="G21" i="5" a="1"/>
  <c r="G21" i="5" s="1"/>
  <c r="L20" i="5" a="1"/>
  <c r="L20" i="5" s="1"/>
  <c r="K20" i="5" a="1"/>
  <c r="K20" i="5" s="1"/>
  <c r="H20" i="5" a="1"/>
  <c r="H20" i="5" s="1"/>
  <c r="G20" i="5" a="1"/>
  <c r="G20" i="5" s="1"/>
  <c r="J20" i="5" s="1"/>
  <c r="L19" i="5" a="1"/>
  <c r="L19" i="5" s="1"/>
  <c r="K19" i="5" a="1"/>
  <c r="K19" i="5" s="1"/>
  <c r="H19" i="5" a="1"/>
  <c r="H19" i="5" s="1"/>
  <c r="G19" i="5" a="1"/>
  <c r="G19" i="5" s="1"/>
  <c r="J19" i="5" s="1"/>
  <c r="L18" i="5" a="1"/>
  <c r="L18" i="5" s="1"/>
  <c r="K18" i="5" a="1"/>
  <c r="K18" i="5" s="1"/>
  <c r="H18" i="5" a="1"/>
  <c r="H18" i="5" s="1"/>
  <c r="G18" i="5" a="1"/>
  <c r="G18" i="5" s="1"/>
  <c r="J18" i="5" s="1"/>
  <c r="L16" i="5" a="1"/>
  <c r="L16" i="5" s="1"/>
  <c r="H16" i="5" a="1"/>
  <c r="H16" i="5" s="1"/>
  <c r="G16" i="5" a="1"/>
  <c r="G16" i="5" s="1"/>
  <c r="J16" i="5" s="1"/>
  <c r="H14" i="5" a="1"/>
  <c r="H14" i="5" s="1"/>
  <c r="G14" i="5" a="1"/>
  <c r="G14" i="5" s="1"/>
  <c r="J14" i="5" s="1"/>
  <c r="I14" i="1"/>
  <c r="F7" i="2" a="1"/>
  <c r="F7" i="2" s="1"/>
  <c r="F6" i="2" s="1"/>
  <c r="F5" i="2" s="1"/>
  <c r="F4" i="2" s="1"/>
  <c r="C7" i="2" a="1"/>
  <c r="C7" i="2" s="1"/>
  <c r="C6" i="2" s="1"/>
  <c r="C5" i="2" s="1"/>
  <c r="C4" i="2" s="1"/>
  <c r="D7" i="2" a="1"/>
  <c r="D7" i="2" s="1"/>
  <c r="D6" i="2" s="1"/>
  <c r="D5" i="2" s="1"/>
  <c r="D4" i="2" s="1"/>
  <c r="E7" i="2" a="1"/>
  <c r="E7" i="2" s="1"/>
  <c r="E6" i="2" s="1"/>
  <c r="E5" i="2" s="1"/>
  <c r="E4" i="2" s="1"/>
  <c r="B7" i="2" a="1"/>
  <c r="B7" i="2" s="1"/>
  <c r="I15" i="1"/>
  <c r="K15" i="1" s="1" a="1"/>
  <c r="K15" i="1" s="1"/>
  <c r="M15" i="1" s="1"/>
  <c r="I16" i="1"/>
  <c r="K16" i="1" s="1" a="1"/>
  <c r="K16" i="1" s="1"/>
  <c r="M16" i="1" s="1"/>
  <c r="I17" i="1"/>
  <c r="K17" i="1" s="1" a="1"/>
  <c r="K17" i="1" s="1"/>
  <c r="M17" i="1" s="1"/>
  <c r="I18" i="1"/>
  <c r="K18" i="1" s="1" a="1"/>
  <c r="K18" i="1" s="1"/>
  <c r="M18" i="1" s="1"/>
  <c r="I19" i="1"/>
  <c r="K19" i="1" s="1" a="1"/>
  <c r="K19" i="1" s="1"/>
  <c r="M19" i="1" s="1"/>
  <c r="I20" i="1"/>
  <c r="K20" i="1" s="1" a="1"/>
  <c r="K20" i="1" s="1"/>
  <c r="M20" i="1" s="1"/>
  <c r="AG4" i="1"/>
  <c r="AI4" i="1"/>
  <c r="AK4" i="1"/>
  <c r="AM4" i="1"/>
  <c r="AO4" i="1"/>
  <c r="AQ4" i="1"/>
  <c r="AS4" i="1"/>
  <c r="AU4" i="1"/>
  <c r="AE4" i="1"/>
  <c r="O4" i="1"/>
  <c r="Q4" i="1"/>
  <c r="S4" i="1"/>
  <c r="U4" i="1"/>
  <c r="W4" i="1"/>
  <c r="Y4" i="1"/>
  <c r="AA4" i="1"/>
  <c r="AC4" i="1"/>
  <c r="D11" i="1"/>
  <c r="D10" i="1"/>
  <c r="D9" i="1"/>
  <c r="D8" i="1"/>
  <c r="O22" i="1" l="1"/>
  <c r="Q22" i="1" s="1"/>
  <c r="S22" i="1" s="1"/>
  <c r="U22" i="1" s="1"/>
  <c r="W22" i="1" s="1"/>
  <c r="Y22" i="1" s="1"/>
  <c r="AA22" i="1" s="1"/>
  <c r="AC22" i="1" s="1"/>
  <c r="O23" i="1"/>
  <c r="O21" i="1"/>
  <c r="Q21" i="1" s="1"/>
  <c r="S21" i="1" s="1"/>
  <c r="U21" i="1" s="1"/>
  <c r="W21" i="1" s="1"/>
  <c r="Y21" i="1" s="1"/>
  <c r="AA21" i="1" s="1"/>
  <c r="AC21" i="1" s="1"/>
  <c r="AE21" i="1" s="1"/>
  <c r="AG21" i="1" s="1"/>
  <c r="AI21" i="1" s="1"/>
  <c r="AK21" i="1" s="1"/>
  <c r="AM21" i="1" s="1"/>
  <c r="AO21" i="1" s="1"/>
  <c r="AQ21" i="1" s="1"/>
  <c r="AS21" i="1" s="1"/>
  <c r="AU21" i="1" s="1"/>
  <c r="AE22" i="1"/>
  <c r="AG22" i="1"/>
  <c r="AI22" i="1" s="1"/>
  <c r="AK22" i="1" s="1"/>
  <c r="AM22" i="1" s="1"/>
  <c r="AO22" i="1" s="1"/>
  <c r="AQ22" i="1" s="1"/>
  <c r="AS22" i="1" s="1"/>
  <c r="AU22" i="1" s="1"/>
  <c r="F22" i="1"/>
  <c r="B6" i="2"/>
  <c r="B5" i="2" s="1"/>
  <c r="B4" i="2" s="1"/>
  <c r="N8" i="5"/>
  <c r="K15" i="5" a="1"/>
  <c r="K15" i="5" s="1"/>
  <c r="O15" i="1"/>
  <c r="O16" i="1"/>
  <c r="O17" i="1"/>
  <c r="O18" i="1"/>
  <c r="O19" i="1"/>
  <c r="M21" i="1"/>
  <c r="J15" i="5"/>
  <c r="P10" i="5"/>
  <c r="AE10" i="5"/>
  <c r="AD10" i="5"/>
  <c r="AC10" i="5"/>
  <c r="AB10" i="5"/>
  <c r="AA10" i="5"/>
  <c r="Z10" i="5"/>
  <c r="Y10" i="5"/>
  <c r="X10" i="5"/>
  <c r="W10" i="5"/>
  <c r="V10" i="5"/>
  <c r="U10" i="5"/>
  <c r="T10" i="5"/>
  <c r="S10" i="5"/>
  <c r="R10" i="5"/>
  <c r="Q10" i="5"/>
  <c r="O10" i="5"/>
  <c r="N10" i="5"/>
  <c r="L21" i="5" s="1" a="1"/>
  <c r="L21" i="5" s="1"/>
  <c r="K14" i="1" a="1"/>
  <c r="K14" i="1" s="1"/>
  <c r="M14" i="1" s="1"/>
  <c r="O14" i="1" s="1"/>
  <c r="Q23" i="1" l="1"/>
  <c r="S23" i="1" s="1"/>
  <c r="U23" i="1" s="1"/>
  <c r="W23" i="1" s="1"/>
  <c r="Y23" i="1" s="1"/>
  <c r="AA23" i="1" s="1"/>
  <c r="AC23" i="1" s="1"/>
  <c r="AE23" i="1" s="1"/>
  <c r="AG23" i="1" s="1"/>
  <c r="AI23" i="1" s="1"/>
  <c r="AK23" i="1" s="1"/>
  <c r="AM23" i="1" s="1"/>
  <c r="AO23" i="1" s="1"/>
  <c r="AQ23" i="1" s="1"/>
  <c r="AS23" i="1" s="1"/>
  <c r="AU23" i="1" s="1"/>
  <c r="F23" i="1"/>
  <c r="K14" i="5" a="1"/>
  <c r="K14" i="5" s="1"/>
  <c r="K17" i="5" a="1"/>
  <c r="K17" i="5" s="1"/>
  <c r="K16" i="5" a="1"/>
  <c r="K16" i="5" s="1"/>
  <c r="F21" i="1"/>
  <c r="Q19" i="1"/>
  <c r="S19" i="1" s="1"/>
  <c r="U19" i="1" s="1"/>
  <c r="W19" i="1" s="1"/>
  <c r="Y19" i="1" s="1"/>
  <c r="AA19" i="1" s="1"/>
  <c r="AC19" i="1" s="1"/>
  <c r="AE19" i="1" s="1"/>
  <c r="AG19" i="1" s="1"/>
  <c r="AI19" i="1" s="1"/>
  <c r="AK19" i="1" s="1"/>
  <c r="AM19" i="1" s="1"/>
  <c r="AO19" i="1" s="1"/>
  <c r="AQ19" i="1" s="1"/>
  <c r="AS19" i="1" s="1"/>
  <c r="AU19" i="1" s="1"/>
  <c r="Q18" i="1"/>
  <c r="S18" i="1" s="1"/>
  <c r="U18" i="1" s="1"/>
  <c r="W18" i="1" s="1"/>
  <c r="Y18" i="1" s="1"/>
  <c r="AA18" i="1" s="1"/>
  <c r="AC18" i="1" s="1"/>
  <c r="AE18" i="1" s="1"/>
  <c r="AG18" i="1" s="1"/>
  <c r="AI18" i="1" s="1"/>
  <c r="AK18" i="1" s="1"/>
  <c r="AM18" i="1" s="1"/>
  <c r="AO18" i="1" s="1"/>
  <c r="AQ18" i="1" s="1"/>
  <c r="AS18" i="1" s="1"/>
  <c r="AU18" i="1" s="1"/>
  <c r="Q17" i="1"/>
  <c r="S17" i="1" s="1"/>
  <c r="U17" i="1" s="1"/>
  <c r="W17" i="1" s="1"/>
  <c r="Y17" i="1" s="1"/>
  <c r="AA17" i="1" s="1"/>
  <c r="AC17" i="1" s="1"/>
  <c r="AE17" i="1" s="1"/>
  <c r="AG17" i="1" s="1"/>
  <c r="AI17" i="1" s="1"/>
  <c r="AK17" i="1" s="1"/>
  <c r="AM17" i="1" s="1"/>
  <c r="AO17" i="1" s="1"/>
  <c r="AQ17" i="1" s="1"/>
  <c r="AS17" i="1" s="1"/>
  <c r="AU17" i="1" s="1"/>
  <c r="Q16" i="1"/>
  <c r="S16" i="1" s="1"/>
  <c r="U16" i="1" s="1"/>
  <c r="W16" i="1" s="1"/>
  <c r="Y16" i="1" s="1"/>
  <c r="AA16" i="1" s="1"/>
  <c r="AC16" i="1" s="1"/>
  <c r="AE16" i="1" s="1"/>
  <c r="AG16" i="1" s="1"/>
  <c r="AI16" i="1" s="1"/>
  <c r="AK16" i="1" s="1"/>
  <c r="AM16" i="1" s="1"/>
  <c r="AO16" i="1" s="1"/>
  <c r="AQ16" i="1" s="1"/>
  <c r="AS16" i="1" s="1"/>
  <c r="AU16" i="1" s="1"/>
  <c r="Q15" i="1"/>
  <c r="S15" i="1" s="1"/>
  <c r="U15" i="1" s="1"/>
  <c r="W15" i="1" s="1"/>
  <c r="Y15" i="1" s="1"/>
  <c r="AA15" i="1" s="1"/>
  <c r="AC15" i="1" s="1"/>
  <c r="AE15" i="1" s="1"/>
  <c r="AG15" i="1" s="1"/>
  <c r="AI15" i="1" s="1"/>
  <c r="AK15" i="1" s="1"/>
  <c r="AM15" i="1" s="1"/>
  <c r="AO15" i="1" s="1"/>
  <c r="AQ15" i="1" s="1"/>
  <c r="AS15" i="1" s="1"/>
  <c r="AU15" i="1" s="1"/>
  <c r="L14" i="5" a="1"/>
  <c r="L14" i="5" s="1"/>
  <c r="I15" i="5" a="1"/>
  <c r="I15" i="5" s="1"/>
  <c r="F15" i="5" s="1"/>
  <c r="L15" i="5" a="1"/>
  <c r="L15" i="5" s="1"/>
  <c r="I21" i="5" a="1"/>
  <c r="I21" i="5" s="1"/>
  <c r="F21" i="5" s="1"/>
  <c r="I20" i="5" a="1"/>
  <c r="I20" i="5" s="1"/>
  <c r="F20" i="5" s="1"/>
  <c r="I19" i="5" a="1"/>
  <c r="I19" i="5" s="1"/>
  <c r="F19" i="5" s="1"/>
  <c r="I18" i="5" a="1"/>
  <c r="I18" i="5" s="1"/>
  <c r="F18" i="5" s="1"/>
  <c r="I16" i="5" a="1"/>
  <c r="I16" i="5" s="1"/>
  <c r="F16" i="5" s="1"/>
  <c r="I14" i="5" a="1"/>
  <c r="I14" i="5" s="1"/>
  <c r="Q14" i="1"/>
  <c r="S14" i="1" s="1"/>
  <c r="U14" i="1" s="1"/>
  <c r="W14" i="1" s="1"/>
  <c r="Y14" i="1" s="1"/>
  <c r="AA14" i="1" s="1"/>
  <c r="AC14" i="1" s="1"/>
  <c r="AE14" i="1" s="1"/>
  <c r="AG14" i="1" s="1"/>
  <c r="AI14" i="1" s="1"/>
  <c r="AK14" i="1" s="1"/>
  <c r="AM14" i="1" s="1"/>
  <c r="AO14" i="1" s="1"/>
  <c r="AQ14" i="1" s="1"/>
  <c r="AS14" i="1" s="1"/>
  <c r="AU14" i="1" s="1"/>
  <c r="O20" i="1"/>
  <c r="Q20" i="1" s="1"/>
  <c r="S20" i="1" s="1"/>
  <c r="U20" i="1" s="1"/>
  <c r="W20" i="1" s="1"/>
  <c r="Y20" i="1" s="1"/>
  <c r="AA20" i="1" s="1"/>
  <c r="AC20" i="1" s="1"/>
  <c r="AE20" i="1" s="1"/>
  <c r="AG20" i="1" s="1"/>
  <c r="AI20" i="1" s="1"/>
  <c r="AK20" i="1" s="1"/>
  <c r="AM20" i="1" s="1"/>
  <c r="AO20" i="1" s="1"/>
  <c r="AQ20" i="1" s="1"/>
  <c r="AS20" i="1" s="1"/>
  <c r="AU20" i="1" s="1"/>
  <c r="F16" i="1" l="1"/>
  <c r="F14" i="1"/>
  <c r="F17" i="1"/>
  <c r="F15" i="1"/>
  <c r="F19" i="1"/>
  <c r="F18" i="1"/>
  <c r="F2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tc={E58F8979-D211-4DF6-83AB-96555B80E823}</author>
    <author>tc={7C242C81-0A00-4DD1-AFF4-DFA41DAB1653}</author>
    <author>tc={B3C00051-9D27-4E08-99F7-E4E09B53CECF}</author>
    <author>tc={53E05A79-1153-412C-8272-0A35CA257A38}</author>
    <author>tc={049E76ED-F7AB-42BA-A615-268E5CDD67A1}</author>
    <author>tc={C7DBA3E5-E6C0-4CCC-9EB9-55F41C52F162}</author>
    <author>tc={66DA12FC-2422-4565-8288-A628EDC3AC9C}</author>
    <author>tc={3D20B76E-625E-47C0-A2C0-1DECEDCF496C}</author>
    <author>tc={0F67EF04-6D42-4B95-B2CE-7F1D39673860}</author>
    <author>tc={9F27C66B-7470-40A8-8CFB-3FB5CB828258}</author>
    <author>tc={021077C7-F15E-472C-8CC9-F01ED45ED998}</author>
    <author>tc={9AE6ED85-BF0E-4429-A66C-BC06FCB2DDF4}</author>
  </authors>
  <commentList>
    <comment ref="F15" authorId="0" shapeId="0" xr:uid="{E58F8979-D211-4DF6-83AB-96555B80E823}">
      <text>
        <t>[Threaded comment]
Your version of Excel allows you to read this threaded comment; however, any edits to it will get removed if the file is opened in a newer version of Excel. Learn more: https://go.microsoft.com/fwlink/?linkid=870924
Comment:
    06/05/23 se cambia para el dia 06/09/23</t>
      </text>
    </comment>
    <comment ref="N15" authorId="1" shapeId="0" xr:uid="{7C242C81-0A00-4DD1-AFF4-DFA41DAB1653}">
      <text>
        <t>[Threaded comment]
Your version of Excel allows you to read this threaded comment; however, any edits to it will get removed if the file is opened in a newer version of Excel. Learn more: https://go.microsoft.com/fwlink/?linkid=870924
Comment:
    Se incrementa 5 dias por los challenge
3 challenge
Reply:
    PTO 4 dias</t>
      </text>
    </comment>
    <comment ref="V15" authorId="2" shapeId="0" xr:uid="{B3C00051-9D27-4E08-99F7-E4E09B53CECF}">
      <text>
        <t xml:space="preserve">[Threaded comment]
Your version of Excel allows you to read this threaded comment; however, any edits to it will get removed if the file is opened in a newer version of Excel. Learn more: https://go.microsoft.com/fwlink/?linkid=870924
Comment:
    Sudoku
</t>
      </text>
    </comment>
    <comment ref="E16" authorId="3" shapeId="0" xr:uid="{53E05A79-1153-412C-8272-0A35CA257A38}">
      <text>
        <t>[Threaded comment]
Your version of Excel allows you to read this threaded comment; however, any edits to it will get removed if the file is opened in a newer version of Excel. Learn more: https://go.microsoft.com/fwlink/?linkid=870924
Comment:
    Fecha de movimiento el 04/27/2023</t>
      </text>
    </comment>
    <comment ref="F16" authorId="4" shapeId="0" xr:uid="{049E76ED-F7AB-42BA-A615-268E5CDD67A1}">
      <text>
        <t>[Threaded comment]
Your version of Excel allows you to read this threaded comment; however, any edits to it will get removed if the file is opened in a newer version of Excel. Learn more: https://go.microsoft.com/fwlink/?linkid=870924
Comment:
    Se cambio por challenge etc... 
06/09/2023</t>
      </text>
    </comment>
    <comment ref="N16" authorId="5" shapeId="0" xr:uid="{C7DBA3E5-E6C0-4CCC-9EB9-55F41C52F162}">
      <text>
        <t xml:space="preserve">[Threaded comment]
Your version of Excel allows you to read this threaded comment; however, any edits to it will get removed if the file is opened in a newer version of Excel. Learn more: https://go.microsoft.com/fwlink/?linkid=870924
Comment:
    Se incrementa 5 dias por los challenge 2048
3  medio dia de challenge
Reply:
    2 challenge apoyo
Reply:
    7 dias python
</t>
      </text>
    </comment>
    <comment ref="P16" authorId="6" shapeId="0" xr:uid="{66DA12FC-2422-4565-8288-A628EDC3AC9C}">
      <text>
        <t xml:space="preserve">[Threaded comment]
Your version of Excel allows you to read this threaded comment; however, any edits to it will get removed if the file is opened in a newer version of Excel. Learn more: https://go.microsoft.com/fwlink/?linkid=870924
Comment:
    Incremento por tiempo en Python
</t>
      </text>
    </comment>
    <comment ref="N17" authorId="7" shapeId="0" xr:uid="{3D20B76E-625E-47C0-A2C0-1DECEDCF496C}">
      <text>
        <t xml:space="preserve">[Threaded comment]
Your version of Excel allows you to read this threaded comment; however, any edits to it will get removed if the file is opened in a newer version of Excel. Learn more: https://go.microsoft.com/fwlink/?linkid=870924
Comment:
    Se incrementa 5 dias por los challenge 2048
Challenge medio dia 3
Reply:
    Problemas con el equipo 1 dia
Reply:
    Volver a configurar el equipo 1
se realizo cambio hasta el dia jueves 06/08/2023
Reply:
    Dias de vacaciones 2
Reply:
    Actividades adicionales rountable, dana, generacion de documento , entrevistas 1 dia 
Reply:
    Dias adicionales por hacer un curso que no aplicaba 3 dias </t>
      </text>
    </comment>
    <comment ref="F18" authorId="8" shapeId="0" xr:uid="{0F67EF04-6D42-4B95-B2CE-7F1D39673860}">
      <text>
        <t>[Threaded comment]
Your version of Excel allows you to read this threaded comment; however, any edits to it will get removed if the file is opened in a newer version of Excel. Learn more: https://go.microsoft.com/fwlink/?linkid=870924
Comment:
    06/15/2023 por challenge 
al 07/014/2023</t>
      </text>
    </comment>
    <comment ref="N18" authorId="9" shapeId="0" xr:uid="{9F27C66B-7470-40A8-8CFB-3FB5CB828258}">
      <text>
        <t>[Threaded comment]
Your version of Excel allows you to read this threaded comment; however, any edits to it will get removed if the file is opened in a newer version of Excel. Learn more: https://go.microsoft.com/fwlink/?linkid=870924
Comment:
    Se incrementa 5 dias por los challenge
Reply:
    2 ejercicios cypress/selenium
Reply:
    sudoku 3 dias
Reply:
    Se agregan 5 dias adicioanles por el cambio de cursos de Java RX
Reply:
    2 dias por estudiar HTML 
Reply:
    2 dias del curso que no aplicaba Javascript ES6</t>
      </text>
    </comment>
    <comment ref="N19" authorId="10" shapeId="0" xr:uid="{021077C7-F15E-472C-8CC9-F01ED45ED998}">
      <text>
        <t xml:space="preserve">[Threaded comment]
Your version of Excel allows you to read this threaded comment; however, any edits to it will get removed if the file is opened in a newer version of Excel. Learn more: https://go.microsoft.com/fwlink/?linkid=870924
Comment:
    Se incrementa 5 dias por los challenge
Reply:
    2 dias sudoku 2048
html 2 dias </t>
      </text>
    </comment>
    <comment ref="N20" authorId="11" shapeId="0" xr:uid="{9AE6ED85-BF0E-4429-A66C-BC06FCB2DDF4}">
      <text>
        <t>[Threaded comment]
Your version of Excel allows you to read this threaded comment; however, any edits to it will get removed if the file is opened in a newer version of Excel. Learn more: https://go.microsoft.com/fwlink/?linkid=870924
Comment:
    Se agregan 2 dias de PTO y 1 de investigacion NFC</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<sst xmlns="http://schemas.openxmlformats.org/spreadsheetml/2006/main" count="960" uniqueCount="590">
  <si>
    <t> </t>
  </si>
  <si>
    <t>Done</t>
  </si>
  <si>
    <t>git incomplete, folder complete</t>
  </si>
  <si>
    <t>folder incomplete, git complete</t>
  </si>
  <si>
    <t>Incomplete</t>
  </si>
  <si>
    <t>On hold</t>
  </si>
  <si>
    <t>N</t>
  </si>
  <si>
    <t xml:space="preserve">Nuevo en la academia </t>
  </si>
  <si>
    <t>C</t>
  </si>
  <si>
    <t>Ya estuvo en academia o es bench</t>
  </si>
  <si>
    <t>Macro execution</t>
  </si>
  <si>
    <t>Active developer mode  in your Excel</t>
  </si>
  <si>
    <t>Click File -&gt; Options, It´ll open a Excel Options modal</t>
  </si>
  <si>
    <t>Select Customize Ribbon.</t>
  </si>
  <si>
    <t>Under Customize the Ribbon and under Main Tabs, select the Developer check box.</t>
  </si>
  <si>
    <t>Run Crear Carpetas</t>
  </si>
  <si>
    <t>Click on Developer tab</t>
  </si>
  <si>
    <t>Select Macros, It´ll open a macro window</t>
  </si>
  <si>
    <t>Select Crear Carpetas and click on Run button</t>
  </si>
  <si>
    <t>It´ll prompt you a location where the folder will be created</t>
  </si>
  <si>
    <t>It´ll prompt you the first cell on the excel to start created the folders with the followings name</t>
  </si>
  <si>
    <t>Notes:</t>
  </si>
  <si>
    <t>You need to open the .xlsm file</t>
  </si>
  <si>
    <t>You need to use your excel app</t>
  </si>
  <si>
    <t>Month</t>
  </si>
  <si>
    <t>Week's</t>
  </si>
  <si>
    <t>ANGULAR</t>
  </si>
  <si>
    <t>Day's</t>
  </si>
  <si>
    <t>Total:</t>
  </si>
  <si>
    <t>Fast</t>
  </si>
  <si>
    <t>Jr</t>
  </si>
  <si>
    <t>INT</t>
  </si>
  <si>
    <t>SR</t>
  </si>
  <si>
    <t>TL</t>
  </si>
  <si>
    <t>Steps</t>
  </si>
  <si>
    <t>Topic</t>
  </si>
  <si>
    <t>Name material</t>
  </si>
  <si>
    <t>Link</t>
  </si>
  <si>
    <t>Comments</t>
  </si>
  <si>
    <t>Time</t>
  </si>
  <si>
    <t>Column1</t>
  </si>
  <si>
    <t>Titulo</t>
  </si>
  <si>
    <t>Descripcion</t>
  </si>
  <si>
    <t>Estrellas</t>
  </si>
  <si>
    <t># de ratings</t>
  </si>
  <si>
    <t># de estudiantes</t>
  </si>
  <si>
    <t>ultima actualización</t>
  </si>
  <si>
    <t>horas</t>
  </si>
  <si>
    <t>minutos</t>
  </si>
  <si>
    <t>temario</t>
  </si>
  <si>
    <t>Academy</t>
  </si>
  <si>
    <t>x</t>
  </si>
  <si>
    <t>Javascript-Arrays</t>
  </si>
  <si>
    <t>JavaScript from Beginner to Expert</t>
  </si>
  <si>
    <t>https://deloittedevelopment.udemy.com/course/javascript-from-beginner-to-expert-bring-life-to-your-site/</t>
  </si>
  <si>
    <t>Upload your certificate pdf file in Dextra Master System. If you created code, upload it in GitHub</t>
  </si>
  <si>
    <t>JavaScript from Beginner to Expert | Udemy</t>
  </si>
  <si>
    <t>Become a JavaScript expert in 30 days, even if you are a JS beginner. Become a front-end developer of websites in JS</t>
  </si>
  <si>
    <t>4.5</t>
  </si>
  <si>
    <t xml:space="preserve">1,305 </t>
  </si>
  <si>
    <t xml:space="preserve">10,736 </t>
  </si>
  <si>
    <t xml:space="preserve"> 5/2023</t>
  </si>
  <si>
    <t>13</t>
  </si>
  <si>
    <t> 34</t>
  </si>
  <si>
    <t>Introduction</t>
  </si>
  <si>
    <t xml:space="preserve">Welcome to my JavaScript course
What is Javascript and where can you use it?
Who Am I?
What you will know after this course?
Assumptions in this course
</t>
  </si>
  <si>
    <t>Editor</t>
  </si>
  <si>
    <t xml:space="preserve">Downloading and installing editor
Creating the project / structure of project
</t>
  </si>
  <si>
    <t>EXTRA: Useful Shortcuts</t>
  </si>
  <si>
    <t xml:space="preserve">Useful shortcuts that will save you tons of time
Useful shortcuts ready to print!
</t>
  </si>
  <si>
    <t>Basics</t>
  </si>
  <si>
    <t xml:space="preserve">Properly embedding JS scripts on your website reducing website loading speed
Basics: How is your script executed? Whitespaces/semicolons etc.
Comments
Variables
EXERCISE: Calculating Gross Prices with VAT
const variables - why and when should you use 'const' keyword?
Practise your basic knowledge (Updated Jan 23')
</t>
  </si>
  <si>
    <t>Operators</t>
  </si>
  <si>
    <t xml:space="preserve">Arithmetic operators
Create a variable that will hold sum of two other variables
Relational operators
Logical operators
Practise your knowledge about the operators (Updated Feb 23')
</t>
  </si>
  <si>
    <t>Conditions</t>
  </si>
  <si>
    <t xml:space="preserve">Conditional Statements
Conditional operator ?:
Switch
Practise your knowledge about the conditional statements (updated Aug 22')
</t>
  </si>
  <si>
    <t>Functions</t>
  </si>
  <si>
    <t xml:space="preserve">Functions basics
Scope of Variables within Functions and Outside of Functions
Scope of Variables - fast text summary
let vs var - what is hoisting?
let vs var - fast text summary
Function Expressions | Anonymous function
Practise your knowledge about the functions (Updated Apr 21')
</t>
  </si>
  <si>
    <t>Objects</t>
  </si>
  <si>
    <t xml:space="preserve">What are and how to create objects?
If your script is not working watch in Event section about onload event
Using an Object Constructor Function (class)
Adding Properties to Objects using Prototype
Practise your knowledge about the objects (Updated Oct 19')
</t>
  </si>
  <si>
    <t>Arrays</t>
  </si>
  <si>
    <t xml:space="preserve">Arrays
Useful Array Methods
Practise your knowledge about the Arrays
</t>
  </si>
  <si>
    <t>Loops</t>
  </si>
  <si>
    <t xml:space="preserve">What is loop? while and do while loop
loop for
instruction break and continue
loop for/in - used for processing objects
EXERCISE: Argument Object in function (unlimited number of arguments)
Loops quiz (Updated Dec 22')
</t>
  </si>
  <si>
    <t>DOM (Document Object Model)</t>
  </si>
  <si>
    <t xml:space="preserve">What is DOM / how to obtain content of your website
querySelector - fast and easy accessing of elements on the website
Changing dynamically styles of elements using JS
Adding and removing elements from document
EXERCISE: Loop inside another Loop - printing out multiplication table
Practise your knowledge about DOM
</t>
  </si>
  <si>
    <t>Events</t>
  </si>
  <si>
    <t xml:space="preserve">Basics of Events
'this' - accessing the element that invoked the event function
Why do we use 'this' keyword?
onload event - VERY IMPORTANT LESSON DO NOT SKIP IT
Adding and removing event listener
Event object as an automatically passed argument to function
Propagating (multiplication of events)
Preventing browser default action for example blocking context menu
EXERCISE: onscroll Event - 'jump to the top of website' button
Mouse events - dragging the image
setTimeout and setInterval - Timing Events
EXERCISE: upgrading the code from the last lesson to object oriented way
Practise your knowledge about Events
</t>
  </si>
  <si>
    <t>Validating Forms using Events</t>
  </si>
  <si>
    <t xml:space="preserve">How to validate forms? Validating text type input using form related events
Stopping form from submitting when any data in a form is not correct
checkbox
radio input on terms and condition example
select (combo box)
Practise your knowledge about validating forms
</t>
  </si>
  <si>
    <t>String</t>
  </si>
  <si>
    <t xml:space="preserve">Manipulating a string using String's methods
Breaking string in many lines for readability and special characters
</t>
  </si>
  <si>
    <t>RegExp</t>
  </si>
  <si>
    <t xml:space="preserve">RegExp Object reference
Regular expressions
Regexp match vs exec function
EXERCISE: RegExp on practical example - testing password in input
</t>
  </si>
  <si>
    <t>Date</t>
  </si>
  <si>
    <t xml:space="preserve">Time manipulation with Date object
Exercise: A Clock on your website
</t>
  </si>
  <si>
    <t>Cookies</t>
  </si>
  <si>
    <t xml:space="preserve">What are cookies?
Function for creating cookies
Function for removing cookies
Function for finding value of cookie by keyname
Properly interpreting special characters - EncodeURIComponent method
</t>
  </si>
  <si>
    <t>Dialog Window</t>
  </si>
  <si>
    <t xml:space="preserve">Confirm and prompt box
</t>
  </si>
  <si>
    <t>Math</t>
  </si>
  <si>
    <t xml:space="preserve">Rounding numbers and the most useful Math methods
Randomness
EXERCISE: Random quotes
</t>
  </si>
  <si>
    <t>Location</t>
  </si>
  <si>
    <t xml:space="preserve">How to get and change location (URL) of your user?
</t>
  </si>
  <si>
    <t>Images</t>
  </si>
  <si>
    <t xml:space="preserve">Loading Images only when needed - save your bandwith and improve user experience
</t>
  </si>
  <si>
    <t>Exercises</t>
  </si>
  <si>
    <t xml:space="preserve">Slideshow
Slideshow animated in JS using CSS property transition
Animation using setInterval that is supported in every web browser
Image gallery with thumbnails
Tooltip - how to create a hint box?
</t>
  </si>
  <si>
    <t>Closures</t>
  </si>
  <si>
    <t xml:space="preserve">What are closures on practical example?
Discussion on stackoverflow about closures
</t>
  </si>
  <si>
    <t>Advanced - Optional Topics</t>
  </si>
  <si>
    <t xml:space="preserve">Bitwise operators
</t>
  </si>
  <si>
    <t>EXTRA CONTENT 1: Debugging</t>
  </si>
  <si>
    <t xml:space="preserve">Firebug
Debugging with console commands
Great online tools for testing and sharing your code
strict mode
</t>
  </si>
  <si>
    <t>EXTRA CONTENT 2: Best practises</t>
  </si>
  <si>
    <t xml:space="preserve">Code performance
Keeping one .js file
Compressing JS files
7 most common mistakes you should avoid
Changing IDE coloristics - keep your eyes healthy
</t>
  </si>
  <si>
    <t>NEW JS features - NEWEST STUFF</t>
  </si>
  <si>
    <t xml:space="preserve">Nullish Coalescing Operator - ??
arrow functions - mapping and filtering arrays
export vs export default in JS - how to organize code into modules?
</t>
  </si>
  <si>
    <t>Summary</t>
  </si>
  <si>
    <t xml:space="preserve">Some ideas of where you can use JS
What after this course?
</t>
  </si>
  <si>
    <t>BONUS</t>
  </si>
  <si>
    <t xml:space="preserve">Bonus: Links to my other courses
</t>
  </si>
  <si>
    <t>Javascript ES6</t>
  </si>
  <si>
    <t>ES6 Javascript: The Complete Developer's Guide</t>
  </si>
  <si>
    <t>https://deloittedevelopment.udemy.com/course/javascript-es6-tutorial/</t>
  </si>
  <si>
    <t>ES6 JavaScript For Everyone: The Complete Developer’s Guide | Udemy</t>
  </si>
  <si>
    <t>ES6 Javascript Development from scratch.  Get practice with live examples and learn exactly where to apply ES6 features.</t>
  </si>
  <si>
    <t xml:space="preserve">13,244 </t>
  </si>
  <si>
    <t xml:space="preserve">56,398 </t>
  </si>
  <si>
    <t>6</t>
  </si>
  <si>
    <t> 15</t>
  </si>
  <si>
    <t>Before We Get Started</t>
  </si>
  <si>
    <t xml:space="preserve">How to Take This Course
Course Resources - Exercise Solutions
Join Our Community!
ES6 vs ES2015
</t>
  </si>
  <si>
    <t>The 'forEach' Helper</t>
  </si>
  <si>
    <t xml:space="preserve">Array Helper Methods - The Easiest Way to Write Better Code
The forEach Helper
forEach Continued
Why Use forEach?
Moving Away from For Loops
Processing Values
</t>
  </si>
  <si>
    <t>The 'map' Helper</t>
  </si>
  <si>
    <t xml:space="preserve">The Map Helper
Map Helper Continued
Where Map Is Used
Plucking Values
Calculating Values with Map
Really Hard - Implementing 'Pluck'
</t>
  </si>
  <si>
    <t>The 'filter' Helper</t>
  </si>
  <si>
    <t xml:space="preserve">Selecting Needed Data with Filter
More on Filtering
Choosing When to Filter
Filtering Values
Handling Permissions with Filter
Challenging!  Implementing 'reject'.
</t>
  </si>
  <si>
    <t>The 'find' Helper</t>
  </si>
  <si>
    <t xml:space="preserve">Querying For Records with Find
Find Continued
Using Find to Search for Users
Finding Admin Users
What's Your Balance?
Really Challenging: Custom findWhere Helper
</t>
  </si>
  <si>
    <t>The 'every' and 'some' Helper</t>
  </si>
  <si>
    <t xml:space="preserve">A Little Every and a Lot of Some
More on Every and Some
Every and Some Syntax
Every and Some in Practice
Finding Submitted Users
In Progress Network Requests
</t>
  </si>
  <si>
    <t>The 'reduce' Helper</t>
  </si>
  <si>
    <t xml:space="preserve">Condensing Lists with Reduce
A Touch More of Reduce
Ace Your Next Interview with Reduce
Distance Traveled
Reducing Properties
Hardmode: Custom 'Unique' Helper
</t>
  </si>
  <si>
    <t>Const/Let</t>
  </si>
  <si>
    <t xml:space="preserve">Variable Declarations with Const and Let
What Const and Let Solve
A Constant Exercise of Letting Variables Be Variables
Const/Let Refactoring
</t>
  </si>
  <si>
    <t>Template Strings</t>
  </si>
  <si>
    <t xml:space="preserve">Template Strings
When to Reach for Template Strings
Template Strings in Practice
Name Helpers
</t>
  </si>
  <si>
    <t>Arrow Functions</t>
  </si>
  <si>
    <t xml:space="preserve">Fat Arrow Functions
Advanced Use of Arrow Functions
When to Use Arrow Functions
When to Use Arrow Functions Continued
Refactoring Keyword Functions
Arrow Functions Aren't Always a Solution
</t>
  </si>
  <si>
    <t>Enhanced Object Literals</t>
  </si>
  <si>
    <t xml:space="preserve">Enhanced Object Literals
Wondering When to Use Enhanced Literals?
Multiple Properties with Enhanced Notation
Condensing Code with Enhanced Literals
Literals in Functions
Refactor to use enhanced literal notation
</t>
  </si>
  <si>
    <t>Default Function Arguments</t>
  </si>
  <si>
    <t xml:space="preserve">Specifying Default Function Arguments
Use Cases of Defaulting Arguments
Using Default Arguments
Dumping Unused Code
</t>
  </si>
  <si>
    <t>Rest and Spread Operator</t>
  </si>
  <si>
    <t xml:space="preserve">Capturing Arguments with Rest and Spread
The Rest on Rest and Spread
Look to Use Rest and Spread in This Case
Many, Many Arguments
Spreadin' Arrays
Mixing Rest and Spread
</t>
  </si>
  <si>
    <t>Destructuring</t>
  </si>
  <si>
    <t xml:space="preserve">Goldmine of ES6: Destructuring
Destructuring Arguments Object
Destructuring Arrays
Destructuring Arrays and Objects *At the Same Time*
So...When to Use Destructuring?
More on When to Use Destructuring
Destructuring in Practice
Array Destructuring in Practice
Recursion with Destructuring
</t>
  </si>
  <si>
    <t>Classes</t>
  </si>
  <si>
    <t xml:space="preserve">Introduction to Classes
Prototypal Inheritance
Refactoring with Classes
Extending Behavior of Classes
When to Use Classes
Game Classes
Subclassing Monsters
</t>
  </si>
  <si>
    <t>Generators</t>
  </si>
  <si>
    <t xml:space="preserve">One Quick Thing: For...Of Loops
Introduction to Generators
Generators With a Short Story
Another Step in Our Generator Story
The Big Reveal on ES6 Generators
A Practical Use of ES6 Generators
Delegation of Generators
Delegation of Generators Continued
Symbol.Iterator with Generators
Complexities of Symbol.Iterator
Generators with Recursion
More on Generators and Recursion
</t>
  </si>
  <si>
    <t>Promises and Fetch</t>
  </si>
  <si>
    <t xml:space="preserve">Code Execution in Javascript
Terminology of Promises
Creating Promises
Then and Catch
Async Code with Promises
Ajax Requests with Fetch
Shortcomings of Fetch
</t>
  </si>
  <si>
    <t>Extras</t>
  </si>
  <si>
    <t xml:space="preserve">Bonus!
</t>
  </si>
  <si>
    <t>Typescript</t>
  </si>
  <si>
    <t>TYPESCRIPT FOR BEGINNERS</t>
  </si>
  <si>
    <t>https://deloittedevelopment.udemy.com/course/typescript-for-beginners/</t>
  </si>
  <si>
    <t>TYPESCRIPT FOR BEGINNERS | Udemy</t>
  </si>
  <si>
    <t>Master and use TypeScript Syntax in easy steps for Angular Developers</t>
  </si>
  <si>
    <t xml:space="preserve">727 </t>
  </si>
  <si>
    <t xml:space="preserve">3,750 </t>
  </si>
  <si>
    <t xml:space="preserve"> 6/2023</t>
  </si>
  <si>
    <t>5</t>
  </si>
  <si>
    <t> 57</t>
  </si>
  <si>
    <t xml:space="preserve">Course and Instructor Introduction
How to make the best of this course?
What and why TypeScript
TypeScript Playground
Install TypeScript
Setup the development environment
Download the completed scripts
</t>
  </si>
  <si>
    <t>Variables and Data Types</t>
  </si>
  <si>
    <t xml:space="preserve">Introduction
First Program Using Visual Studio Code
Use JS in a HTML
Strings
Boolean
any Type
Homogenous Arrays
Heterogenous Arrays
Using alert confirm and prompt
Comments
Enum Type
More about string
String Functions
Union Type
Variables and Data Types
Variables and Data Types
</t>
  </si>
  <si>
    <t xml:space="preserve">Arithmetic
Assignment
Comparison
Logical
Ternary
Summary
Operators
</t>
  </si>
  <si>
    <t>Flow Control Statements</t>
  </si>
  <si>
    <t xml:space="preserve">Introduction
IF Else Ladder
Switch
Break and Case Flow
Conditional Statements
While loop
Summary
Flow Control Statements
More Programs - 1
More Programs - 2
Loops
</t>
  </si>
  <si>
    <t>Objects and Arrays</t>
  </si>
  <si>
    <t xml:space="preserve">Introduction
Object Literal
For-In Loop
Arrays
De-Structuring Arrays
De-Structuring Objects
Array Functions
Summary
Objects and Arrays
Objects
Arrays
</t>
  </si>
  <si>
    <t xml:space="preserve">Introduction
First Function
Passing a parameter
Passing Multiple Parameters
Optional Parameters
Default Values
Function as parameter
Returning a function
Anonymous Functions
Overloading
Rest Params
Using a Type on REST Param
Summary
Functions
Functions
</t>
  </si>
  <si>
    <t xml:space="preserve">Introduction
First arrow function
Passing Parameters
Array of Arrow Functions
Summary
Arrow Functions
Arrow Functions
</t>
  </si>
  <si>
    <t>Variable Prefixes</t>
  </si>
  <si>
    <t xml:space="preserve">let
const
const functions
declare
Summary
Variable Prefixes
</t>
  </si>
  <si>
    <t>Interfaces</t>
  </si>
  <si>
    <t xml:space="preserve">Introduction
Define a Object Interface
Create and object
Defining optional properties
Interfaces are only compile time
Function Interfaces
Return Types in Functional interfaces
Adding methods to Object Interfaces
Array Interfaces
String indexed Array Interfaces
Extending interfaces
Interfaces
Summary
Interfaces
</t>
  </si>
  <si>
    <t xml:space="preserve">Introduction
Create a class
Add a constructor
Add Function properties
Power of TypeScript
Using for-in and instanceof
Implementing a interface
Summary
Classes
Classes
</t>
  </si>
  <si>
    <t>Inheritance</t>
  </si>
  <si>
    <t xml:space="preserve">Introduction
Extending a class
Create Child Objects
Inheriting Functionality
Overriding
Summary
Inheritance
Inheritance
</t>
  </si>
  <si>
    <t>Access modifiers , Encapsulation and Static</t>
  </si>
  <si>
    <t xml:space="preserve">public and readonly
Encapsulation
private properties
accessor methods
Using Static Properties
More about static
Static Methods
Summary
Access modifiers , Encapsulation and Static
Encapsulation
</t>
  </si>
  <si>
    <t>Polymorphism</t>
  </si>
  <si>
    <t xml:space="preserve">Introduction
Polymorphism in action
</t>
  </si>
  <si>
    <t>Type Casting</t>
  </si>
  <si>
    <t xml:space="preserve">String to numeric
Using the toString method
Object Casting
</t>
  </si>
  <si>
    <t>Modules</t>
  </si>
  <si>
    <t xml:space="preserve">Introduction
Using Function Modules
Import Aliasing and Alternate Export Syntax
Default Exports
Class Modules
Aliasing class modules
</t>
  </si>
  <si>
    <t>More Types</t>
  </si>
  <si>
    <t xml:space="preserve">Introduction
Map in action
More methods on map
Set
Regular Expressions
RegEx Program 1
RegEx Program 2
Date
</t>
  </si>
  <si>
    <t>Decorators</t>
  </si>
  <si>
    <t xml:space="preserve">Introduction
Types of decorators
Decorator Order
Experimental Flag
Setup Project
Class Decorator
Implement Class Decorator
Add Props using Class Decorator
Property Decorator
Implement Property Decorator
Method Decorator
Implement Method Decorator
Param Decorator
Implement Param Decorator
Decorator Factories
Create Decorator Factory
</t>
  </si>
  <si>
    <t>Wrap Up</t>
  </si>
  <si>
    <t xml:space="preserve">Final Quiz
Bonus Lecture
</t>
  </si>
  <si>
    <t>Typescript-Development</t>
  </si>
  <si>
    <t>Introduction to TypeScript Development</t>
  </si>
  <si>
    <t>https://deloittedevelopment.udemy.com/course/introduction-typescript-development/</t>
  </si>
  <si>
    <t>Introduction to TypeScript Development | Udemy</t>
  </si>
  <si>
    <t>Get ready to build React, Vue and Angular web and mobile applications by learning the TypeScript programming language.</t>
  </si>
  <si>
    <t xml:space="preserve">3,585 </t>
  </si>
  <si>
    <t xml:space="preserve">13,195 </t>
  </si>
  <si>
    <t xml:space="preserve"> 4/2021</t>
  </si>
  <si>
    <t>7</t>
  </si>
  <si>
    <t> 53</t>
  </si>
  <si>
    <t>Introduction and System Configuration</t>
  </si>
  <si>
    <t xml:space="preserve">TypeScript Overview and Benefits
How to Install Homebrew for Using TypeScript on a Mac
Installing Node.js and NPM on a Mac
Installing TypeScript on a Mac
Installing the Sublime Text TypeScript Plugin
How to Install Node.js and NPM on a PC
Installing TypeScript on a PC via NPM
Running TypeScript Programs on a PC
</t>
  </si>
  <si>
    <t>Basic Syntax and Structure</t>
  </si>
  <si>
    <t xml:space="preserve">Building a Hello World Program in TypeScript on a Mac
How to Use Variables in TypeScript
String Interpolation in TypeScript
Overview of Types in TypeScript
Creating a Type Alias in TypeScript
How to Use Union Types in TypeScript
Real World Example of Union Types in a Production React JS eCommerce Application
TypeScript Arithmetic Operators
Guide to TypeScript Conditionals
TypeScript Conditional Operators
Compound Conditionals in TypeScript
TypeScript Loops
Introduction to TypeScript Functions
Working with TypeScript Function Arguments
TypeScript Arrow Functions
</t>
  </si>
  <si>
    <t>TypeScript Closures</t>
  </si>
  <si>
    <t xml:space="preserve">Function Declarations vs Expressions in TypeScript
TypeScript Immediately Invoked Functions
Immediately Invoked Function Arguments
Introduction to Closures in TypeScript
</t>
  </si>
  <si>
    <t>Object Oriented Programming in TypeScript</t>
  </si>
  <si>
    <t xml:space="preserve">Introduction to TypeScript Classes
Guide to Inheritance for TypeScript Programs
Objects in TypeScript
Introduction to TypeScript Interfaces
How to Configure TypeScript Functions to Work with Interfaces
TypeScript Classes Implementing Interfaces
TypeScript Namespaces
</t>
  </si>
  <si>
    <t>Asynchronous Development in TypeScript</t>
  </si>
  <si>
    <t xml:space="preserve">What is Asynchronous Behavior?
The Problem with 'this' in TypeScript (and how to fix it)
Higher Order Functions and Callbacks in TypeScript
Configuring TypeScript to Work with Promises
Guide to Promises in TypeScript
</t>
  </si>
  <si>
    <t>TypeScript Decorators</t>
  </si>
  <si>
    <t xml:space="preserve">Introduction to TypeScript Decorators
Class Decorators in TypeScript
TypeScript Method Decorators
Example of TypeScript Decorators in Angular 2
</t>
  </si>
  <si>
    <t>Advanced TypeScript Features</t>
  </si>
  <si>
    <t xml:space="preserve">Deep Dive: Optional Chaining in TypeScript
How to Capitalize the First Letter of Every Word in TypeScript
</t>
  </si>
  <si>
    <t>Real World TypeScript: Build a React Application with TypeScript</t>
  </si>
  <si>
    <t xml:space="preserve">Generating a React Application that Uses TypeScript
Build React Components with TypeScript Interfaces for Scalable Features
Deep Dive: Using the Map Function to Iterate and Return Values in TypeScript
How to Render a List of Items in React with TypeScript Types and Interfaces
</t>
  </si>
  <si>
    <t>Angular-Basic</t>
  </si>
  <si>
    <t>Angular Step by Step for beginners</t>
  </si>
  <si>
    <t>https://deloittedevelopment.udemy.com/course/angular-tutorial/</t>
  </si>
  <si>
    <t>Angular Step by Step for beginners | Udemy</t>
  </si>
  <si>
    <t>This course teaches Angular from basic to advanced level by creating a Customer data entry project.</t>
  </si>
  <si>
    <t>4.4</t>
  </si>
  <si>
    <t xml:space="preserve">2,477 </t>
  </si>
  <si>
    <t xml:space="preserve">18,094 </t>
  </si>
  <si>
    <t xml:space="preserve"> 7/2022</t>
  </si>
  <si>
    <t>8</t>
  </si>
  <si>
    <t> 3</t>
  </si>
  <si>
    <t>Lab 1 :- Running your First Angular Application</t>
  </si>
  <si>
    <t xml:space="preserve">Running your first Angular Application (Full flow of Angular explained)
Test your Angular Knowledge
</t>
  </si>
  <si>
    <t>Lab 2 :- Creating a Customer user interface with Grid</t>
  </si>
  <si>
    <t xml:space="preserve">Creating UI , Component and Model
Lab 2 Quiz
</t>
  </si>
  <si>
    <t>Lab 3 - Creating MasterPage page,Supplier page ,Home page &amp; enabling navigation</t>
  </si>
  <si>
    <t xml:space="preserve">Lab 3 :- Routing - Creating Masterpage with proper navigation
</t>
  </si>
  <si>
    <t>Lab 4 :-  Increasing Performance using Lazy Loading</t>
  </si>
  <si>
    <t xml:space="preserve">Lab 4 :-  Increasing Performance using Lazy Loading
</t>
  </si>
  <si>
    <t>Lab 5 :- Implementing Validation in Angular</t>
  </si>
  <si>
    <t xml:space="preserve">Lab 5 :- Validation in Angular
</t>
  </si>
  <si>
    <t>Lab 6 :- Dependency Injection and Providers</t>
  </si>
  <si>
    <t xml:space="preserve">Lab 6 :- Dependency Injection and Providers
</t>
  </si>
  <si>
    <t>Lab 7 :- Input , Output and Event Emitters</t>
  </si>
  <si>
    <t xml:space="preserve">Lab 7 :- Input , Output and Event Emitters
</t>
  </si>
  <si>
    <t>Lab 8 :- Making HTTP calls using Angular.</t>
  </si>
  <si>
    <t xml:space="preserve">Lab 8 :- Making HTTP calls using Angular.
</t>
  </si>
  <si>
    <t>Lab 9 :- Integrating MVC core with Angular using visual studio</t>
  </si>
  <si>
    <t xml:space="preserve">Lab 9 :- Integrating MVC core with Angular using visual studio
</t>
  </si>
  <si>
    <t>Lab 10:- Migrating Angular 6 to Angular 7</t>
  </si>
  <si>
    <t xml:space="preserve">Lab 10:- Migrating Angular 6 to Angular 7
</t>
  </si>
  <si>
    <t>Lab 11 :- Unit Testing in Angular using Jasmine &amp; Karma.</t>
  </si>
  <si>
    <t xml:space="preserve">Lab 11 :- Unit Testing in Angular using Jasmine &amp; Karma.
</t>
  </si>
  <si>
    <t>Q and A Videos</t>
  </si>
  <si>
    <t xml:space="preserve">Question 1 :- Can we have multiple startup components in Angular ?
</t>
  </si>
  <si>
    <t>Angular-Code</t>
  </si>
  <si>
    <t>Angular Core Deep Dive - Beginner to Advanced (Angular 15)</t>
  </si>
  <si>
    <t>https://deloittedevelopment.udemy.com/course/angular-course/</t>
  </si>
  <si>
    <t>Angular Core Deep Dive - Beginner to Advanced (Angular 16) | Udemy</t>
  </si>
  <si>
    <t>Updated to Angular 16: Learn all the Advanced Features of the Angular Core and Common modules</t>
  </si>
  <si>
    <t>4.6</t>
  </si>
  <si>
    <t xml:space="preserve">3,508 </t>
  </si>
  <si>
    <t xml:space="preserve">20,684 </t>
  </si>
  <si>
    <t> 45</t>
  </si>
  <si>
    <t xml:space="preserve">Angular Core Deep Dive - Helicopter View
IMPORTANT - Recommended Software Versions
Course Kickoff - Development Environment Setup
The Typescript Jumpstart Ebook
Introduction To Angular - Custom HTML Elements, Model vs View
Why Angular? Learn the Key Features of Angular Core
</t>
  </si>
  <si>
    <t>Angular Components, Core Directives and Pipes</t>
  </si>
  <si>
    <t xml:space="preserve">New Section - Angular Components and Core Directives
Building our First Angular Component
Component Inputs and the @Input Decorator
Angular Component @Output - Custom Events and Event Emitters
The Angular ngFor Core Directive
Angular ngIf Directive and the Elvis Operator
Angular ngClass Core Directive - Learn All Features
Angular ngStyle Core Directive - When to use it and Why
Angular ngSwitch Core Directive In Detail
Angular ng-container Core Directive - When to use it?
Angular Built-In Pipes - Complete Catalog
</t>
  </si>
  <si>
    <t>Angular Local Template Querying In Depth</t>
  </si>
  <si>
    <t xml:space="preserve">Angular View Child Decorator - How Does it Work?
View Child - Learn the multiple View Query Configuration Options
The AfterViewInit Lifecycle Hook - How deep can we query with View Child?
The View Children Decorator and Query List In Detail
</t>
  </si>
  <si>
    <t>Angular Content Projection In Depth</t>
  </si>
  <si>
    <t xml:space="preserve">Angular Content Projection with ng-content In Detail
Angular Content Child Decorator - In-Depth Explanation
Angular Content Children and the AfterContentInit Lyfecycle Hook
</t>
  </si>
  <si>
    <t>Angular Templates In Depth</t>
  </si>
  <si>
    <t xml:space="preserve">Angular Templates Introduction with ng-template
Angular Template Instantiation with ngTemplateOutlet
Angular Templates as Component Inputs
</t>
  </si>
  <si>
    <t>Angular Directives In Depth</t>
  </si>
  <si>
    <t xml:space="preserve">Introduction to Angular Attribute Directives
Angular Host Binding in Detail - DOM Properties vs Attributes
Angular Host Listener - Handling Events in Directives
Angular Directive Export As syntax - When to Use it and Why
Angular Structural Directives - Understanding the Star Syntax
Angular Structural Directives - Step-by-Step Implementation
</t>
  </si>
  <si>
    <t>Angular View Encapsulation In Depth</t>
  </si>
  <si>
    <t xml:space="preserve">Angular View Encapsulation - Under the Hood
Angular View Encapsulation - the Host Selector
Bypassing View Encapsulation with the ng-deep modifier
The Host Context Selector - Theming Use Case
Angular View Encapsulation - Default vs Shadow DOM
</t>
  </si>
  <si>
    <t>Angular Injectable Services In Depth</t>
  </si>
  <si>
    <t xml:space="preserve">Angular Injectable Services - New Section Introduction
The Angular HTTP Client - GET calls with Request Parameters
The Async Pipe - a Better way of passing Observable data to the View
Angular Custom Services - The Injectable Decorator
Angular Custom Service - Fetching Data
Angular Custom Service - Data Modification with an HTTP PUT
</t>
  </si>
  <si>
    <t>Angular Dependency Injection In Depth</t>
  </si>
  <si>
    <t xml:space="preserve">Introduction to the Angular Dependency Injection System
Angular DI - Understanding Providers and Injection Tokens
Angular DI - Understanding Simplified Provider Configuration
Understanding Hierarchical Dependency Injection
Understanding Angular Tree-Shakeable Providers
Angular DI - Injection Tokens In Detail
Angular DI Decorators - Optional, Self, SkipSelf
Angular DI Host Decorator and Section Conclusion
</t>
  </si>
  <si>
    <t>Angular Change Detection In Depth</t>
  </si>
  <si>
    <t xml:space="preserve">Angular Default Change Detection - How does it Work?
Angular OnPush Change Detection - How does it Work?
OnPush Change Detection and Observables Data Streams
Angular Attribute Decorator - When to use it?
Angular Custom Change Detection with ChangeDetectorRef
</t>
  </si>
  <si>
    <t>Angular Lifecycle Hooks In Depth</t>
  </si>
  <si>
    <t xml:space="preserve">Angular Lifecycle Hooks - OnInit and OnDestroy In Detail
Angular OnChanges Lifecycle Hook
Angular AfterContentChecked Lifecycle Hook - Use Cases and Pitfalls
Angular AfterViewChecked Lifecycle Hook - Use Cases and Pitfalls
Angular Lifecycle Hooks - Complete Overview
</t>
  </si>
  <si>
    <t>Angular Modules in Depth</t>
  </si>
  <si>
    <t xml:space="preserve">Introduction to Angular Modules
Angular Feature Modules In Detail
</t>
  </si>
  <si>
    <t>Angular Pipes In Depth</t>
  </si>
  <si>
    <t xml:space="preserve">Angular Custom Pipes - Step-by-Step Implementation
Angular Impure Pipes In Detail
</t>
  </si>
  <si>
    <t>Angular Internationalization (i18n) In Depth</t>
  </si>
  <si>
    <t xml:space="preserve">Introduction to Angular Internationalization (i18n)
Understanding Angular i18n Unique Identifiers
Angular i18n Pluralization Support
Angular i18n Alternative Expressions Support
Running a Translated Angular Application using the Angular CLI
</t>
  </si>
  <si>
    <t>Angular Elements In Depth</t>
  </si>
  <si>
    <t xml:space="preserve">Angular Elements In Detail
</t>
  </si>
  <si>
    <t>Conclusion &amp; Bonus</t>
  </si>
  <si>
    <t xml:space="preserve">Bonus Lecture
Angular Core Deep Dive - Course Conclusion and Key Takeaways
</t>
  </si>
  <si>
    <t>Exercise  1</t>
  </si>
  <si>
    <t>Create a basic project, without to much style, where you implement:
1.- A header with 3 tabs: Students, Courses and Projects. All components will be loaded in the same parent component (no routing)
2.- Within each tab, at the top you will have basic controls to register the entity (a student, a course or a project), below these controls you will have a list of the registered entities .</t>
  </si>
  <si>
    <t>Angular-Forms</t>
  </si>
  <si>
    <t>Angular Forms In Depth (Angular 15)</t>
  </si>
  <si>
    <t>https://deloittedevelopment.udemy.com/course/angular-forms-course/</t>
  </si>
  <si>
    <t>Angular Forms In Depth (Angular 16) | Udemy</t>
  </si>
  <si>
    <t>Build complex enterprise data forms with the powerful Angular 16 Forms module</t>
  </si>
  <si>
    <t xml:space="preserve">1,261 </t>
  </si>
  <si>
    <t xml:space="preserve">7,648 </t>
  </si>
  <si>
    <t> 47</t>
  </si>
  <si>
    <t xml:space="preserve">Angular Forms In Depth -Helicopter View
IMPORTANT
Angular Forms In Depth - Development Environment Setup
Introduction to Angular Forms - why do we need a Forms module?
Introduction to Angular Material Form Controls
</t>
  </si>
  <si>
    <t>Template Driven Forms In Depth</t>
  </si>
  <si>
    <t xml:space="preserve">Introduction to Template Driven Forms - the ngForm Directive
Understanding how the Angular ngModel Directive Works
Introduction to Form Validation
Understanding Angular Forms CSS State Classes - ng-valid ng-dirty ng-touched
How to Display Error Messages in an Angular Form
Learn All the Built-in Template-Driven Form Validators
How to use ngSubmit - Disabling the Form Submit button
Advanced ngModel - ngModelChange and the ngModelOptions updateOn Property
Advanced ngModel - ngModelOptions In Detail
Understanding ngModel One Way and Bidirectional Data Binding
Template Driven Forms Custom Field Validator - a Password Strength Validator
How to write a Custom Form Field Validator Function
Implementing a Custom Form Field Validation Directive
Multiple error messages per form field - Understanding the problem
The onlyOneError Custom Pipe - API Design
The onlyOneError Custom Pipe - Step-by-Step Implementation
</t>
  </si>
  <si>
    <t>Introduction to Angular Reactive Forms</t>
  </si>
  <si>
    <t xml:space="preserve">Introduction to Angular Reactive Forms
Introduction to Reactive Forms - Step-by-Step Example
Reactive Forms - The Form Control Directive and Custom Validators
The Form Builder API - Writing much more concise Reactive Forms
Comparing Reactive and Template Driven Forms
Angular Strictly Typed Forms
Non Nullable Form Builder
</t>
  </si>
  <si>
    <t>Angular Reactive Forms In Depth</t>
  </si>
  <si>
    <t xml:space="preserve">New Section - Advanced Reactive Forms
Building an Angular Multi-Step Reactive Form with Angular Material
Angular Asynchronous Form Validators
Angular Forms Controls - How to add a DatePicker field to a Reactive Form
Angular Form Controls - Checkbox and Text Area
Angular Selection Dropdown Form Control - Step-by-Step Example
Multi-Step Forms - Displaying an Error Message per Step
Reactive Forms - Dynamically Enabling and Disabling Form Fields
Angular Material Date Range Selector - Step-by-Step Example
Reactive Forms Multi-field Custom Validation
How to implement Form Draft Pre-Save using the valueChanges Observable API
</t>
  </si>
  <si>
    <t>Angular Custom Form Controls</t>
  </si>
  <si>
    <t xml:space="preserve">New Section - Angular Custom Form Controls - a File Upload Component
Custom File Upload Component - Step-by-Step Implementation
Angular File Upload - Opening a File Upload Dialog
Angular File Upload - Uploading to a Node Server using the HTTP Client
Implementing a File Upload Progress Indicator
Understanding the Angular Forms ControlValueAccessor Interface
ControlValueAccessor Interface - Step-by-Step Implementation
ControlValueAccessor - Setting Up DI Configuration and Demo
Angular Custom Form Controls - The Validator Interface
What is a Reusable Nested Form?
How to Use ControlValueAccessor to implement a Nested Form
</t>
  </si>
  <si>
    <t>Form Arrays In Depth</t>
  </si>
  <si>
    <t xml:space="preserve">New Section - Setting Up Step 3 of our Multi-step Form
Preparing Step 3 of our Multi-Step Form
Angular Form Arrays - Step-by-Step Example
Angular Multi-Step Form - Final Demo
</t>
  </si>
  <si>
    <t>Conclusion</t>
  </si>
  <si>
    <t xml:space="preserve">Bonus Lecture
Angular Forms In Depth - Conclusions &amp; Key Takeaways
</t>
  </si>
  <si>
    <t>Angular-Forms-Material</t>
  </si>
  <si>
    <t>Angular (Full App) with Angular Material, Angularfire &amp; NgRx</t>
  </si>
  <si>
    <t>https://deloittedevelopment.udemy.com/course/angular-full-app-with-angular-material-angularfire-ngrx/</t>
  </si>
  <si>
    <t>Create an Angular App with Material, Angularfire, and NgRx | Udemy</t>
  </si>
  <si>
    <t>Use Angular, Angular Material, Angularfire (+ Firebase with Firestore) and NgRx to build a real Angular App</t>
  </si>
  <si>
    <t xml:space="preserve">7,977 </t>
  </si>
  <si>
    <t xml:space="preserve">42,528 </t>
  </si>
  <si>
    <t xml:space="preserve"> 11/2022</t>
  </si>
  <si>
    <t>11</t>
  </si>
  <si>
    <t> 16</t>
  </si>
  <si>
    <t>Getting Started</t>
  </si>
  <si>
    <t xml:space="preserve">Welcome &amp; Introduction
What's Inside the Course?
Join our Online Learning Community
How To Get The Most Out Of This Course
Planning the App
</t>
  </si>
  <si>
    <t>A Brief Angular Refresher (OPTIONAL)</t>
  </si>
  <si>
    <t xml:space="preserve">Module Introduction
What is Angular?
MUST READ: Angular CLI - Latest Version
Project Setup with the Angular CLI
How an Angular App Starts and Works
Adding Components
Template Syntax
Using Directives like ngFor and ngIf
Custom Property &amp; Event Binding
Forms
Understanding Services &amp; Dependency Injection
Angular Routing
Where to Dive Deeper
Useful Resources &amp; Links
</t>
  </si>
  <si>
    <t>Angular Material</t>
  </si>
  <si>
    <t xml:space="preserve">Module Introduction
Understanding Angular Material Components
Adding Angular Material to a Project
Stay Up To Date!
Our First Angular Material Component - The Button
Why Do We Have To Import Everything Separately?
Creating the Course App Structure
Working on The Signup Form
Flexbox - A Quick Refresher
Controlling the Layout with @angular/flex-layout
Adding &amp; Configuring the Submit Button
Implementing Hints and Validation Errors (on Forms)
Adding a Datepicker
Restricting Pickable Dates
Adding a Checkbox
Finishing the Form with Style
Time to Practice - Angular Material
Wrap Up
Useful Resources &amp; Links
</t>
  </si>
  <si>
    <t>Diving Deeper into Angular Material</t>
  </si>
  <si>
    <t xml:space="preserve">Module Introduction
Adding Navigation &amp; a Sidenav
Working on the Sidenav and Toolbar
Styling the Sidenav
Making the Page Responsive
Adding Navigation Items
Splitting the Navigation Into Components
Working on the Welcome Screen
Adding a Tabs Component
Adding some "Cards"
Adding a Dropdown Menu
Adding a Spinner to the Training Screen
Adding a Nice Exercise Timer
Adding a Cancel Dialog Screen
Passing Data to the Dialog
Adding "Exit" and "Continue" Options
Wrap Up
Useful Resources &amp; Links
</t>
  </si>
  <si>
    <t>Working with Data and Angular Material</t>
  </si>
  <si>
    <t xml:space="preserve">Module Introduction
Important: RxJS 6
IMPORTANT: Install rxjs-compat
Code without rxjs-compat
Implementing Authentication
Time to Practice - Angular Material &amp; Data
Routing &amp; Authentication
Route Protection
Preparing the Exercise Data
Injecting &amp; Using the Training Service
Setting an Active Exercise
Controlling the Active Exercise
Adding a Form to the Training Component
Handling the Active Training via a Service
RxJS 6 Update
Handling "Complete" and "Cancel" Events
Adding the Angular Material Data Table
Adding Sorting to the Data Table
Adding Filtering to the Data Table
Data Table Filtering++
Adding Pagination to the Data Table
Wrap Up
Useful Resources &amp; Links
</t>
  </si>
  <si>
    <t>Using Angularfire &amp; Firebase</t>
  </si>
  <si>
    <t xml:space="preserve">Module Introduction
What is Firebase?
Getting Started with Firebase
What is Angularfire?
RxJS Observables Refresher
Diving into Firebase
Listening to Value Changes (of Firestore)
Operators &amp; RxJS 6
Listening to Snapshot Changes (of Firestore, incl. Metadata)
Restructuring the Code
How Firebase Manages Subscriptions
Storing Completed Exercises on Firestore
Connecting the Data Table to Firestore
Working with Documents
Adding Real Authentication (Sign Up)
Adding User Login
Understanding Authentication in SPAs
Configuring Firestore Security Rules
Managing Firestore Subscriptions
Reorganizing the Code
Wrap Up
Useful Resources &amp; Links
</t>
  </si>
  <si>
    <t>Optimizing the App</t>
  </si>
  <si>
    <t xml:space="preserve">Module Introduction
Style Improvements &amp; Error Handling
Adding a Spinner
Time to Practice - Optimizations
Adding a Re-Usable Snackbar (Notification)
Improving Error Handling
Splitting the App Into Modules
Time to Practice - Modules
Optimizing Subscriptions
Creating a SharedModule
Splitting Up Routes
Loading a Module Lazily
Moving the Auth Guard
Wrap Up
Useful Resources &amp; Links
</t>
  </si>
  <si>
    <t>Using NgRx for State Management</t>
  </si>
  <si>
    <t xml:space="preserve">Module Introduction
What is Redux - An Overview
NgRx Core Concepts - A First Example
Working with Multiple Reducers &amp; Actions
Dispatching Actions &amp; Selecting State Slices
Time to Practice - NgRx
What's Up with the RxJS Import Syntax?
Adding an Auth Reducer (and Actions)
Adding Auth Subscriptions
Adding the Training Reducer and Actions with Payloads
Lazy Loaded State
Dispatching Training Actions
Selecting Training State
Selecting Single Values Correctly
Connecting the Data Table
Cleaning the Project Up
Adding a small Bugfix
Wrap Up
Useful Resources &amp; Links
</t>
  </si>
  <si>
    <t>Deploying the App</t>
  </si>
  <si>
    <t xml:space="preserve">Introduction &amp; Preparation
Deploying the App to Firebase Hosting
Useful Resources &amp; Links
</t>
  </si>
  <si>
    <t>BONUS: Angular Material Themes</t>
  </si>
  <si>
    <t xml:space="preserve">Module Introduction
Understanding Angular Material Themes
Adding the Theme with Angular 6
Customising an Angular Material Theme
Useful Resources &amp; Links
</t>
  </si>
  <si>
    <t>Round Up</t>
  </si>
  <si>
    <t xml:space="preserve">Course Roundup
Bonus: More Content!
</t>
  </si>
  <si>
    <t>Exercise  2</t>
  </si>
  <si>
    <t>Following the Excersice 1
1.- You will take the controls used to register the entities and put them into forms. Each form will have Save/Update and Clean buttons.
2.- If you click on one the element listed on the list below, the data will be loaded on the form. 
3.- Apply style throughout the app</t>
  </si>
  <si>
    <t>Angular.Code-Routing</t>
  </si>
  <si>
    <t>Angular Router In Depth (Angular 15)</t>
  </si>
  <si>
    <t>https://deloittedevelopment.udemy.com/course/angular-router-course/</t>
  </si>
  <si>
    <t>Angular Router In Depth (Angular 16) | Udemy</t>
  </si>
  <si>
    <t>Build large-scale Angular 16 Single Page Applications (SPAs) with the powerful Angular Router</t>
  </si>
  <si>
    <t xml:space="preserve">945 </t>
  </si>
  <si>
    <t xml:space="preserve">13,911 </t>
  </si>
  <si>
    <t>4</t>
  </si>
  <si>
    <t> 48</t>
  </si>
  <si>
    <t xml:space="preserve">Angular Router In Depth Course - Helicopter View
Download the Angular Router Jumpstart E-Book
IMPORTANT
Angular Router In Depth - Development Environment Setup
What are Single Page Applications? Advantages and Downsides
What is the Angular Router? Essential Concepts (Routes, Paths and Outlets)
Router Essential Concepts - The routerLink and routerLinkActive Directives
</t>
  </si>
  <si>
    <t>Angular Router Essentials</t>
  </si>
  <si>
    <t xml:space="preserve">How to setup Lazy Loading with the Angular Router
Angular Router Lazy Loaded Modules - Runtime Demo
Angular Router Configuration - Best Practices
Router Path Variables - Variable Target Routes with the Router Link Directive
Angular Router Resolver Services - Building a Linkable Page in a SPA
Angular Router Loading Indicator - Detecting Route Transitions and Lazy Loading
</t>
  </si>
  <si>
    <t>Angular Router Master Detail with Detail to Detail Navigation</t>
  </si>
  <si>
    <t xml:space="preserve">Angular Router Child Routes - Step-by-Step Explanation
Angular Router Child Routes Demo - The Lessons List Component
Master Detail Implementation - Routing from the Master to the Detail Component
Implementing the Lesson Detail Resolver
Programmatic Router Navigation with the Router Service
Understanding Route Snapshots vs Route Observables - When to Use Each and Why
</t>
  </si>
  <si>
    <t>Angular Router Guards In Depth</t>
  </si>
  <si>
    <t xml:space="preserve">Router Guards Section Introduction - Authentication Store Review
CanActivate Router Guards - Authentication Guards
Understanding CanActivateChild Guards
CanDeactivate Router Guards - A Practical Example
Angular Router CanLoad Guards
</t>
  </si>
  <si>
    <t>Angular Router In Depth - Other Topics</t>
  </si>
  <si>
    <t xml:space="preserve">What is an Angular Router Preloading Strategy?
Angular Router Custom Preloading Strategy
Angular Router Query Parameters - Demo
Configuring routing behaviour with routerLinkActiveOptions
Angular Router Secondary Outlets - Step-by-Step Explanation
Angular Router Secondary Outlets - Some Known Issues to be aware of
Angular Router Module Extra Options - enableTracing and useHash
Angular Router Extra Options - Recommended Settings
</t>
  </si>
  <si>
    <t xml:space="preserve">Bonus Lecture
Angular Router In Depth - Conclusions and Key Takeaways
</t>
  </si>
  <si>
    <t>Exercise 3</t>
  </si>
  <si>
    <t>Following the Excelsice 2
1.- Apply routing in all tabs
2.- Create 2 more tabs, Students by Courses and Students by Projects
3.- Create and implement services to share information between components.
4.- Within Students by courses tab, on top you will have a form where you can link a saved user with a saved course. In list below you will list all the information saved.
5.- Within Sudents by projects tab, on top you will have a form where you can link a saved user with a saved course. In list below you will list all the information saved.</t>
  </si>
  <si>
    <t>Angular-Full</t>
  </si>
  <si>
    <t>Angular - The Complete Guide (2023 Edition)</t>
  </si>
  <si>
    <t>https://deloittedevelopment.udemy.com/course/the-complete-guide-to-angular-2/</t>
  </si>
  <si>
    <t>Master Angular 7 (formerly Angular 2): The Complete Course | Udemy</t>
  </si>
  <si>
    <t>Master Angular (formerly "Angular 2") and build awesome, reactive web apps with the successor of Angular.js</t>
  </si>
  <si>
    <t xml:space="preserve">185,879 </t>
  </si>
  <si>
    <t xml:space="preserve">687,287 </t>
  </si>
  <si>
    <t>36</t>
  </si>
  <si>
    <t> 30</t>
  </si>
  <si>
    <t xml:space="preserve">Course Introduction
What is Angular?
Join our Online Learning Community
Angular vs Angular 2 vs Latest Angular Version
CLI Deep Dive &amp; Troubleshooting
Project Setup and First App
Editing the First App
The Course Structure
How to get the Most out of the Course
What is TypeScript?
Optional: TypeScript Quick Introduction
A Basic Project Setup using Bootstrap for Styling
About the Course Code / Code Snapshots
</t>
  </si>
  <si>
    <t>The Basics</t>
  </si>
  <si>
    <t xml:space="preserve">Module Introduction
How an Angular App gets Loaded and Started
Components are Important!
Creating a New Component
Understanding the Role of AppModule and Component Declaration
Using Custom Components
Creating Components with the CLI &amp; Nesting Components
Working with Component Templates
Working with Component Styles
Fully Understanding the Component Selector
Practicing Components
[OPTIONAL] Assignment Solution
What is Databinding?
String Interpolation
Property Binding
Property Binding vs String Interpolation
Event Binding
Bindable Properties and Events
Passing and Using Data with Event Binding
Important: FormsModule is Required for Two-Way-Binding!
Two-Way-Databinding
Combining all Forms of Databinding
Practicing Databinding
[OPTIONAL] Assignment Solution
Understanding Directives
Using ngIf to Output Data Conditionally
Enhancing ngIf with an Else Condition
Styling Elements Dynamically with ngStyle
Applying CSS Classes Dynamically with ngClass
Outputting Lists with ngFor
Practicing Directives
[OPTIONAL] Assignment Solution
Getting the Index when using ngFor
</t>
  </si>
  <si>
    <t>Course Project - The Basics</t>
  </si>
  <si>
    <t xml:space="preserve">Project Introduction
Planning the App
Creating a New App Correctly
Setting up the Application
Creating the Components
Using the Components
Adding a Navigation Bar
Alternative Non-Collapsable Navigation Bar
Creating a "Recipe" Model
Adding Content to the Recipes Components
Outputting a List of Recipes with ngFor
Displaying Recipe Details
Working on the ShoppingListComponent
Creating an "Ingredient" Model
Creating and Outputting the Shopping List
Adding a Shopping List Edit Section
Wrap Up &amp; Next Steps
</t>
  </si>
  <si>
    <t>Debugging</t>
  </si>
  <si>
    <t xml:space="preserve">Understanding Angular Error Messages
Debugging Code in the Browser Using Sourcemaps
</t>
  </si>
  <si>
    <t>Components &amp; Databinding Deep Dive</t>
  </si>
  <si>
    <t xml:space="preserve">Module Introduction
Splitting Apps into Components
Property &amp; Event Binding Overview
Binding to Custom Properties
Assigning an Alias to Custom Properties
Binding to Custom Events
Assigning an Alias to Custom Events
Custom Property and Event Binding Summary
Understanding View Encapsulation
More on View Encapsulation
Using Local References in Templates
@ViewChild() in Angular 8+
Getting Access to the Template &amp; DOM with @ViewChild
Projecting Content into Components with ng-content
Understanding the Component Lifecycle
Seeing Lifecycle Hooks in Action
Lifecycle Hooks and Template Access
@ContentChild() in Angular 8+
Getting Access to ng-content with @ContentChild
Wrap Up
Practicing Property &amp; Event Binding and View Encapsulation
[OPTIONAL] Assignment Solution
</t>
  </si>
  <si>
    <t>Course Project - Components &amp; Databinding</t>
  </si>
  <si>
    <t xml:space="preserve">Introduction
Adding Navigation with Event Binding and ngIf
Passing Recipe Data with Property Binding
Passing Data with Event and Property Binding (Combined)
Make sure you have FormsModule added!
Allowing the User to Add Ingredients to the Shopping List
</t>
  </si>
  <si>
    <t>Directives Deep Dive</t>
  </si>
  <si>
    <t xml:space="preserve">Module Introduction
ngFor and ngIf Recap
ngClass and ngStyle Recap
Creating a Basic Attribute Directive
Using the Renderer to build a Better Attribute Directive
More about the Renderer
Using HostListener to Listen to Host Events
Using HostBinding to Bind to Host Properties
Binding to Directive Properties
What Happens behind the Scenes on Structural Directives
Building a Structural Directive
Understanding ngSwitch
</t>
  </si>
  <si>
    <t>Course Project - Directives</t>
  </si>
  <si>
    <t xml:space="preserve">Building and Using a Dropdown Directive
Closing the Dropdown From Anywhere
</t>
  </si>
  <si>
    <t>Using Services &amp; Dependency Injection</t>
  </si>
  <si>
    <t xml:space="preserve">Module Introduction
Why would you Need Services?
Creating a Logging Service
Injecting the Logging Service into Components
Alternative Injection Syntax
Creating a Data Service
Understanding the Hierarchical Injector
How many Instances of Service Should It Be?
Injecting Services into Services
Using Services for Cross-Component Communication
A Different Way Of Injecting Services
Practicing Services
[OPTIONAL] Assignment Solution
</t>
  </si>
  <si>
    <t>Course Project - Services &amp; Dependency Injection</t>
  </si>
  <si>
    <t xml:space="preserve">Introduction
Setting up the Services
Managing Recipes in a Recipe Service
Using a Service for Cross-Component Communication
Adding the Shopping List Service
Using Services for Pushing Data from A to B
Adding Ingredients to Recipes
Passing Ingredients from Recipes to the Shopping List (via a Service)
</t>
  </si>
  <si>
    <t>Changing Pages with Routing</t>
  </si>
  <si>
    <t xml:space="preserve">Module Introduction
Why do we need a Router?
Understanding the Example Project
Setting up and Loading Routes
Navigating with Router Links
Understanding Navigation Paths
Styling Active Router Links
Navigating Programmatically
Using Relative Paths in Programmatic Navigation
Passing Parameters to Routes
Fetching Route Parameters
Fetching Route Parameters Reactively
An Important Note about Route Observables
Passing Query Parameters and Fragments
Retrieving Query Parameters and Fragments
Practicing and some Common Gotchas
Setting up Child (Nested) Routes
Using Query Parameters - Practice
Configuring the Handling of Query Parameters
Redirecting and Wildcard Routes
Important: Redirection Path Matching
Outsourcing the Route Configuration
An Introduction to Guards
Protecting Routes with canActivate
Protecting Child (Nested) Routes with canActivateChild
Using a Fake Auth Service
Controlling Navigation with canDeactivate
Passing Static Data to a Route
Resolving Dynamic Data with the resolve Guard
Understanding Location Strategies
Wrap Up
</t>
  </si>
  <si>
    <t>Course Project - Routing</t>
  </si>
  <si>
    <t xml:space="preserve">Planning the General Structure
Setting Up Routes
Adding Navigation to the App
Marking Active Routes
Fixing Page Reload Issues
Child Routes: Challenge
Adding Child Routing Together
Configuring Route Parameters
Passing Dynamic Parameters to Links
Styling Active Recipe Items
Adding Editing Routes
Retrieving Route Parameters
Programmatic Navigation to the Edit Page
One Note about Route Observables
Project Cleanup
</t>
  </si>
  <si>
    <t>Understanding Observables</t>
  </si>
  <si>
    <t xml:space="preserve">Module Introduction
Install RxJS
Analyzing Angular Observables
Getting Closer to the Core of Observables
Building a Custom Observable
Errors &amp; Completion
Observables &amp; You!
Understanding Operators
Subjects
Wrap Up
Useful Resources &amp; Links
</t>
  </si>
  <si>
    <t>Course Project - Observables</t>
  </si>
  <si>
    <t xml:space="preserve">Improving the Reactive Service with Observables (Subjects)
Changed the Subscription Name
</t>
  </si>
  <si>
    <t>Handling Forms in Angular Apps</t>
  </si>
  <si>
    <t xml:space="preserve">Module Introduction
Why do we Need Angular's Help?
Template-Driven (TD) vs Reactive Approach
An Example Form
TD: Creating the Form and Registering the Controls
TD: Submitting and Using the Form
TD: Understanding Form State
TD: Accessing the Form with @ViewChild
TD: Adding Validation to check User Input
Built-in Validators &amp; Using HTML5 Validation
TD: Using the Form State
TD: Outputting Validation Error Messages
TD: Set Default Values with ngModel Property Binding
TD: Using ngModel with Two-Way-Binding
TD: Grouping Form Controls
TD: Handling Radio Buttons
TD: Setting and Patching Form Values
TD: Using Form Data
TD: Resetting Forms
Practicing Template-Driven Forms
Introduction to the Reactive Approach
Reactive: Setup
Reactive: Creating a Form in Code
Reactive: Syncing HTML and Form
Reactive: Submitting the Form
Reactive: Adding Validation
Reactive: Getting Access to Controls
Reactive: Grouping Controls
Fixing a Bug
Reactive: Arrays of Form Controls (FormArray)
Reactive: Creating Custom Validators
Reactive: Using Error Codes
Reactive: Creating a Custom Async Validator
Reactive: Reacting to Status or Value Changes
Reactive: Setting and Patching Values
Practicing Reactive Forms
[OPTIONAL] Assignment Solution
</t>
  </si>
  <si>
    <t>Course Project - Forms</t>
  </si>
  <si>
    <t xml:space="preserve">Introduction
TD: Adding the Shopping List Form
Adding Validation to the Form
Allowing the Selection of Items in the List
Loading the Shopping List Items into the Form
Updating existing Items
Resetting the Form
Allowing the the User to Clear (Cancel) the Form
Allowing the Deletion of Shopping List Items
Creating the Template for the (Reactive) Recipe Edit Form
Creating the Form For Editing Recipes
Syncing HTML with the Form
Fixing a Bug
Adding Ingredient Controls to a Form Array
Adding new Ingredient Controls
Validating User Input
Submitting the Recipe Edit Form
Adding a Delete and Clear (Cancel) Functionality
Redirecting the User (after Deleting a Recipe)
Adding an Image Preview
Providing the Recipe Service Correctly
Deleting Ingredients and Some Finishing Touches
Deleting all Items in a FormArray
</t>
  </si>
  <si>
    <t>Using Pipes to Transform Output</t>
  </si>
  <si>
    <t xml:space="preserve">Introduction &amp; Why Pipes are Useful
Using Pipes
Parametrizing Pipes
Where to learn more about Pipes
Chaining Multiple Pipes
Creating a Custom Pipe
Parametrizing a Custom Pipe
Example: Creating a Filter Pipe
Pure and Impure Pipes (or: How to "fix" the Filter Pipe)
Understanding the "async" Pipe
Practicing Pipes
</t>
  </si>
  <si>
    <t>Making Http Requests</t>
  </si>
  <si>
    <t xml:space="preserve">A New IDE
Module Introduction
How Does Angular Interact With Backends?
The Anatomy of a Http Request
Backend (Firebase) Setup
Sending a POST Request
GETting Data
Using RxJS Operators to Transform Response Data
Using Types with the HttpClient
Outputting Posts
Showing a Loading Indicator
Using a Service for Http Requests
Services &amp; Components Working Together
Sending a DELETE Request
Handling Errors
Using Subjects for Error Handling
Using the catchError Operator
Error Handling &amp; UX
Setting Headers
Adding Query Params
Observing Different Types of Responses
Changing the Response Body Type
Introducing Interceptors
Manipulating Request Objects
Response Interceptors
Multiple Interceptors
Wrap Up
Useful Resources &amp; Links
</t>
  </si>
  <si>
    <t>Course Project - Http</t>
  </si>
  <si>
    <t xml:space="preserve">Module Introduction
Backend (Firebase) Setup
Setting Up the DataStorage Service
Storing Recipes
Fetching Recipes
Transforming Response Data
Resolving Data Before Loading
Fixing a Bug with the Resolver
</t>
  </si>
  <si>
    <t>Authentication &amp; Route Protection in Angular</t>
  </si>
  <si>
    <t xml:space="preserve">Module Introduction
How Authentication Works
Adding the Auth Page
Switching Between Auth Modes
Handling Form Input
Preparing the Backend
Make sure you got Recipes in your backend!
Preparing the Signup Request
Sending the Signup Request
Adding a Loading Spinner &amp; Error Handling Logic
Improving Error Handling
Sending Login Requests
Login Error Handling
Creating &amp; Storing the User Data
Reflecting the Auth State in the UI
Adding the Token to Outgoing Requests
Attaching the Token with an Interceptor
Adding Logout
Adding Auto-Login
Adding Auto-Logout
Adding an Auth Guard
Wrap Up
Useful Resources &amp; Links
</t>
  </si>
  <si>
    <t>Dynamic Components</t>
  </si>
  <si>
    <t xml:space="preserve">Module Introduction
Adding an Alert Modal Component
Understanding the Different Approaches
Using ngIf
Preparing Programmatic Creation
Creating a Component Programmatically
About entryComponents
Understanding entryComponents
Data Binding &amp; Event Binding
Wrap Up
Useful Resources &amp; Links
</t>
  </si>
  <si>
    <t>Angular Modules &amp; Optimizing Angular Apps</t>
  </si>
  <si>
    <t xml:space="preserve">Module Introduction
What are Modules?
Analyzing the AppModule
Getting Started with Feature Modules
Splitting Modules Correctly
Adding Routes to Feature Modules
Component Declarations
The ShoppingList Feature Module
Understanding Shared Modules
Understanding the Core Module
Adding an Auth Feature Module
Understanding Lazy Loading
Implementing Lazy Loading
More Lazy Loading
Preloading Lazy-Loaded Code
Modules &amp; Services
Loading Services Differently
Useful Resources &amp; Links
</t>
  </si>
  <si>
    <t>Deploying an Angular App</t>
  </si>
  <si>
    <t xml:space="preserve">Module Introduction
Deployment Preparation &amp; Steps
Using Environment Variables
Deploying Angular Applications
Deployment Example: Firebase Hosting
Server Routing vs Browser Routing
</t>
  </si>
  <si>
    <t>Standalone Components</t>
  </si>
  <si>
    <t xml:space="preserve">Module Introduction
Starting Setup &amp; Why We Want Standalone Components
Building a First Standalone Component
Standalone Components Are Now Stable
Standalone Directives &amp; Connecting Building Blocks
Migrating Another Component
A Standalone Root Component
Services &amp; Standalone Components
Routing with Standalone Components
Lazy Loading
Summary
</t>
  </si>
  <si>
    <t>Angular Signals</t>
  </si>
  <si>
    <t xml:space="preserve">Module Introduction
Signals: What &amp; Why?
Creating a New Signal
Updating a Signal Value
Reading &amp; Outputting a Signal Value
Signal Updating: set(), update() &amp; mutate()
Important: Signals are NOT Finished Yet!
Signals: What's To Come?
Computed Values &amp; Effects
Module Summary
</t>
  </si>
  <si>
    <t>Bonus: Using NgRx For State Management</t>
  </si>
  <si>
    <t xml:space="preserve">Module Introduction
What Is NgRx?
Understanding NgRx &amp; Its Building Blocks
Project Setup &amp; Installing NgRx
Adding a First Reducer &amp; Store Setup
An Alternative Way Of Creating Reducers
Reading Data From The Store
Introducing Actions &amp; State Changing Reducers
Dispatching Actions
Attaching Data To Actions
Handling Actions Without createReducer
An Alternative Way Of Defining Actions
Time To Practice: A Second Action
Exploring Selectors
Introducing Effects
Installing the Effects Package
Defining a First Effect
The Old @Effect Decorator &amp; Registering Effects
Using Store Data In Effects
Adding a Second Effect
Summary
About The Remaining Section
Recipe Project Starting Code
Getting Started with Reducers
Adding Logic to the Reducer
Understanding &amp; Adding Actions
Setting Up the NgRx Store
Selecting State
Dispatching Actions
Multiple Actions
Preparing Update &amp; Delete Actions
Updating &amp; Deleting Ingredients
Expanding the State
Managing More State via NgRx
Removing Redundant Component State Management
First Summary &amp; Clean Up
One Root State
Setting Up Auth Reducer &amp; Actions
Dispatching Auth Actions
Auth Finished (For Now...)
And Important Note on Actions
Exploring NgRx Effects
Defining the First Effect
Important: Avoid @Effect
Effects &amp; Error Handling
Login via NgRx Effects
Managing UI State in NgRx
Finishing the Login Effect
Preparing Other Auth Actions
Adding Signup
Further Auth Effects
Adding Auto-Login with NgRx
Adding Auto-Logout
Finishing the Auth Effects
Using the Store Devtools
The Router Store
Getting Started with NgRx for Recipes
Fetching Recipe Detail Data
Fetching Recipes &amp; Using the Resolver
Fixing the Auth Redirect
Update, Delete and Add Recipes
Storing Recipes via Effects
Cleanup Work
Wrap Up
Alternative NgRx Syntax
Useful Resources &amp; Links
</t>
  </si>
  <si>
    <t>Bonus: Angular Universal</t>
  </si>
  <si>
    <t xml:space="preserve">Module Introduction
Angular Universal - What &amp; Why?
Converting the App to a Universal App
Analyzing &amp; Running Server-side Code
A Closer Look At The Server-side Code
Integrating a REST API
Some Notes About Deploying Angular Universal Apps
Angular Universal Gotchas
</t>
  </si>
  <si>
    <t>Angular Animations</t>
  </si>
  <si>
    <t xml:space="preserve">Making Animations Work with Angular 4+
Introduction
Setting up the Starting Project
Animations Triggers and State
Switching between States
Transitions
Advanced Transitions
Transition Phases
The "void" State
Using Keyframes for Animations
Grouping Transitions
Using Animation Callbacks
</t>
  </si>
  <si>
    <t>Adding Offline Capabilities with Service Workers</t>
  </si>
  <si>
    <t xml:space="preserve">Module Introduction
Adding Service Workers
Caching Assets for Offline Use
Caching Dynamic Assets &amp; URLs
Further Links &amp; Resources
</t>
  </si>
  <si>
    <t>A Basic Introduction to Unit Testing in Angular Apps</t>
  </si>
  <si>
    <t xml:space="preserve">About this Section
Introduction
Why Unit Tests?
Analyzing the Testing Setup (as created by the CLI)
Running Tests (with the CLI)
Adding a Component and some fitting Tests
Testing Dependencies: Components and Services
Simulating Async Tasks
Using "fakeAsync" and "tick"
Isolated vs Non-Isolated Tests
Further Resources &amp; Where to Go Next
</t>
  </si>
  <si>
    <t>Angular as a Platform &amp; Closer Look at the CLI</t>
  </si>
  <si>
    <t xml:space="preserve">Module Introduction
A Closer Look at "ng new"
IDE &amp; Project Setup
Understanding the Config Files
Important CLI Commands
The "angular.json" File - A Closer Look
Angular Schematics - An Introduction
The "ng add" Command
Using Custom "ng generate" Schematics
Smooth Updating of Projects with "ng update"
Simplified Deployment with "ng deploy"
Understanding "Differential Loading"
Managing Multiple Projects in One Folder
Angular Libraries - An Introduction
Wrap Up
</t>
  </si>
  <si>
    <t xml:space="preserve">A First Look At Angular Elements
</t>
  </si>
  <si>
    <t>Course Roundup</t>
  </si>
  <si>
    <t xml:space="preserve">Thanks for being part of the course!
Bonus: More Content!
</t>
  </si>
  <si>
    <t>Bonus: TypeScript Introduction (for Angular 2 Usage)</t>
  </si>
  <si>
    <t xml:space="preserve">Module Introduction
What &amp; Why?
Installing &amp; Using TypeScript
Base Types &amp; Primitives
Array &amp; Object Types
Type Inference
Working with Union Types
Assigning Type Aliases
Diving into Functions &amp; Function Types
Understanding Generics
Classes &amp; TypeScript
Working with Interfaces
Configuring the TypeScript Compiler
Module Resources
</t>
  </si>
  <si>
    <t>Exercise 4</t>
  </si>
  <si>
    <t>Create a project where you implement:
1.-  Authentication to protect frontend pages.
2.- Forms to create and edit authors and genres.
3.- A form to create books, each book must belong to an author and a genre.
4.- Validate forms
5.-  Books, authors and genres lists.
6.- Filter books by name
7.- Paging to books and authors lists.
8.- Error handler.
9.-Apply routing
10.- A communication with a backend (firebase)</t>
  </si>
  <si>
    <t>Angular-Test</t>
  </si>
  <si>
    <t>Angular Testing Masterclass (Angular 15)</t>
  </si>
  <si>
    <t>https://deloittedevelopment.udemy.com/course/angular-testing-course/</t>
  </si>
  <si>
    <t>Angular Testing Course Masterclass (with FREE E-Book) | Udemy</t>
  </si>
  <si>
    <t>A complete guide to Angular 16 Unit Testing and End to End (E2E) Testing, including Testing best practices and CI</t>
  </si>
  <si>
    <t xml:space="preserve">3,864 </t>
  </si>
  <si>
    <t xml:space="preserve">19,427 </t>
  </si>
  <si>
    <t> 6</t>
  </si>
  <si>
    <t>Course Kickoff - Development Environment Setup</t>
  </si>
  <si>
    <t xml:space="preserve">Angular Testing Course - Helicopter View
IMPORTANT - Recommended Software Versions
Angular Testing Course - Development Environment Setup
The Typescript Jumpstart Ebook
Quick Introduction to Jasmine - Test Suites and Specifications
Step-by-Step Implementation of our First Jasmine Specification
Unit Testing with Jasmine - Introduction to Jasmine Spies
Structuring Angular Unit Tests - Test Setup using beforeEach
IMPORTANT: Use TestBed.inject() instead of TestBed.get()
Using Dependency Injection in Angular Testing - The Angular TestBed
Angular Unit Testing Best Practices and commonly used Test Utilities
</t>
  </si>
  <si>
    <t>Angular Service Testing In Depth</t>
  </si>
  <si>
    <t xml:space="preserve">Testing Angular HTTP Services - Test Setup with the HttpClientTestingModule
Angular HTTP Service Testing - Step-by-Step Implementation
Preventing Unintended HTTP Requests using the HTTP Testing Controller
Testing Angular HTTP Data Modification Services
Angular HTTP Services - Testing Error Handling
Angular HTTP Testing - Checking HTTP Request Parameters
</t>
  </si>
  <si>
    <t>Angular Component Testing In Depth</t>
  </si>
  <si>
    <t xml:space="preserve">WARNING (Read This)
Introduction to Angular Component Testing - Presentational Components
Angular Component Testing - Test Setup with the async Test Utility
Angular Component Testing - DOM Interaction
Angular Test Debugging - How to Trigger Change Detection?
Angular Component Testing - Course Card List Test Suite Conclusion
Testing Angular Smart or Container Components - Test Setup
Mocking Observable-based Services - Testing the Home Component
Container Component Test Suite - The Home Component
Simulating User DOM Interaction in Angular Unit Tests
</t>
  </si>
  <si>
    <t>Asynchronous Angular Testing In Depth</t>
  </si>
  <si>
    <t xml:space="preserve">Introduction to Asynchronous Angular Testing - Understanding Jasmine done()
Understanding Asynchronous Testing - a Simple Example
Understanding the Angular fakeAsync Testing Zone
Testing Promised-based code - Introduction to Microtasks
Testing Promise-based code with fakeAsync - Understanding flushMicrotasks
Testing Asynchronous Code with fakeAsync - Full Example
Using fakeAsync to test Asynchronous Observables
fakeAsync in Practice - Fixing the Home component tests
IMPORTANT - async() renamed to waitForAsync()
Understanding the Angular waitForAsync() Test Zone
</t>
  </si>
  <si>
    <t>Angular E2E (End to End) Testing with Cypress</t>
  </si>
  <si>
    <t xml:space="preserve">Angular (E2E) End to End Testing - Getting Started with Cypress
Angular E2E (End To End Test) Hello World with Cypress
How to Mock an HTTP Backend using Cypress
Simulating User Interaction in Cypress End to End Tests
</t>
  </si>
  <si>
    <t>Preparing an Angular Application for Continuous Integration (CI)</t>
  </si>
  <si>
    <t xml:space="preserve">Angular CLI Code Coverage and Deployment in Production Mode
Preparing an Angular Application for Continuous Integration (CI)
Running Cypress E2E Tests using Travis CI
</t>
  </si>
  <si>
    <t xml:space="preserve">Bonus Lecture
Angular Testing Course - Conclusions and Key Takeaways
</t>
  </si>
  <si>
    <t>Ejecicio 5</t>
  </si>
  <si>
    <t>Apply unit test to exercise 4</t>
  </si>
  <si>
    <t>Final Project</t>
  </si>
  <si>
    <t>You´ll be a frontend developer that develop a real application</t>
  </si>
  <si>
    <t>Final-Project-Angular.docx</t>
  </si>
  <si>
    <t>Upload your evidence to GitHub</t>
  </si>
  <si>
    <t>Training</t>
  </si>
  <si>
    <t>https://deloittedevelopment.udemy.com/course/angular-fernando-herrera/</t>
  </si>
  <si>
    <t>Master Angular 7 (formerly Angular 2): The Complete Course (udemy.com)</t>
  </si>
  <si>
    <t xml:space="preserve">Optional </t>
  </si>
  <si>
    <t>The Modern Angular Bootcamp (udemy.com)</t>
  </si>
  <si>
    <t>Angular / .Net Core</t>
  </si>
  <si>
    <t>https://deloittedevelopment.udemy.com/course/real-world-app-angular-aspnet-core-web-api-and-sql</t>
  </si>
  <si>
    <t>Days</t>
  </si>
  <si>
    <t>Course</t>
  </si>
  <si>
    <t>Human Resources</t>
  </si>
  <si>
    <t>Deloitte</t>
  </si>
  <si>
    <t>Dextra Prosess</t>
  </si>
  <si>
    <t>Javascript</t>
  </si>
  <si>
    <t>Duracion</t>
  </si>
  <si>
    <t>JR</t>
  </si>
  <si>
    <t>Int</t>
  </si>
  <si>
    <t>Rol</t>
  </si>
  <si>
    <t>Fecha Ingreso a la firma</t>
  </si>
  <si>
    <t>Fecha Inicio curso</t>
  </si>
  <si>
    <t>Deadline</t>
  </si>
  <si>
    <t>Aditional</t>
  </si>
  <si>
    <t>Name</t>
  </si>
  <si>
    <t>Income date</t>
  </si>
  <si>
    <t>MANCILLA CONTRERAS, JONATHAN ENRIQUE</t>
  </si>
  <si>
    <t>jr</t>
  </si>
  <si>
    <t>LEONARDO FABIAN VALENCIA QUEVEDO</t>
  </si>
  <si>
    <t>RAMIREZ MORALES, JOSE ARTURO</t>
  </si>
  <si>
    <t>GABRIELA CHAVEZ VELOZ</t>
  </si>
  <si>
    <t>LUIS DANIEL HERNANDEZ GUEVARA</t>
  </si>
  <si>
    <t>GALLO VALENZUELA, DIEGO FERNANDO</t>
  </si>
  <si>
    <t>c</t>
  </si>
  <si>
    <t>PONCE ISTURIZ, SAIL JESUS</t>
  </si>
  <si>
    <t xml:space="preserve">Adrian Yañez </t>
  </si>
  <si>
    <t xml:space="preserve">Oferlio </t>
  </si>
  <si>
    <t>Eduardo Mercado Gonzalez</t>
  </si>
  <si>
    <t>Mañana</t>
  </si>
  <si>
    <t xml:space="preserve">2 semanas </t>
  </si>
  <si>
    <t xml:space="preserve">Dias desfazado por otras actividad </t>
  </si>
  <si>
    <t>Dias otras cosas</t>
  </si>
  <si>
    <t>Dias Curso Desface</t>
  </si>
  <si>
    <t>PTO</t>
  </si>
  <si>
    <t>vacaciones</t>
  </si>
  <si>
    <t>Holiday</t>
  </si>
  <si>
    <t xml:space="preserve">Hacker </t>
  </si>
  <si>
    <t>Semanas curso</t>
  </si>
  <si>
    <t>Abr</t>
  </si>
  <si>
    <t xml:space="preserve">Meeting </t>
  </si>
  <si>
    <t>Mayo</t>
  </si>
  <si>
    <t xml:space="preserve">1 semana </t>
  </si>
  <si>
    <t>Vacaciones</t>
  </si>
  <si>
    <t>Hacker</t>
  </si>
  <si>
    <t>Justificado</t>
  </si>
  <si>
    <t>Atrazo</t>
  </si>
  <si>
    <t>estas por atrazarte</t>
  </si>
  <si>
    <t>Aditional Activities</t>
  </si>
  <si>
    <t xml:space="preserve">iniciando </t>
  </si>
  <si>
    <t>Fecha Ingreso DD</t>
  </si>
  <si>
    <t>Inicio Course</t>
  </si>
  <si>
    <t>Fecha Fin</t>
  </si>
  <si>
    <t>Complete</t>
  </si>
  <si>
    <t>Total</t>
  </si>
  <si>
    <t>%</t>
  </si>
  <si>
    <t>Semaforo</t>
  </si>
  <si>
    <t>DeadLine</t>
  </si>
  <si>
    <t>YANEZ RAMIREZ, ADRIAN</t>
  </si>
  <si>
    <t>f</t>
  </si>
  <si>
    <t>Gomez De Santos, Jorge</t>
  </si>
  <si>
    <t>Antonio Lopez Dominguez</t>
  </si>
  <si>
    <t>Orfelio</t>
  </si>
  <si>
    <t>Alcibar Osorio, Fredy</t>
  </si>
  <si>
    <t>Bautista Barranco, Ricardo</t>
  </si>
  <si>
    <t>hr =&gt; day</t>
  </si>
  <si>
    <t>12/24/2022</t>
  </si>
  <si>
    <t>8 =&gt; 1</t>
  </si>
  <si>
    <t>Type</t>
  </si>
  <si>
    <t>12/25/2022</t>
  </si>
  <si>
    <t>4 =&gt; .5</t>
  </si>
  <si>
    <t>12/26/2022</t>
  </si>
  <si>
    <t>2 =&gt; .25</t>
  </si>
  <si>
    <t>Bench</t>
  </si>
  <si>
    <t>12/27/2022</t>
  </si>
  <si>
    <t>1 =&gt; .12</t>
  </si>
  <si>
    <t>12/28/2022</t>
  </si>
  <si>
    <t>.5 =&gt; .06</t>
  </si>
  <si>
    <t>12/29/2022</t>
  </si>
  <si>
    <t>12/30/2022</t>
  </si>
  <si>
    <t>12/31/2022</t>
  </si>
  <si>
    <t>3/20/2023</t>
  </si>
  <si>
    <t>9/15/2023</t>
  </si>
  <si>
    <t>9/16/2023</t>
  </si>
  <si>
    <t>11/20/2023</t>
  </si>
  <si>
    <t>12/24/2023</t>
  </si>
  <si>
    <t>12/25/2023</t>
  </si>
  <si>
    <t>12/26/2023</t>
  </si>
  <si>
    <t>12/27/2023</t>
  </si>
  <si>
    <t>12/28/2023</t>
  </si>
  <si>
    <t>12/29/2023</t>
  </si>
  <si>
    <t>12/30/2023</t>
  </si>
  <si>
    <t>12/31/2023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</si>
</sst>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6">
    <font>
      <sz val="11"/>
      <color theme="1"/>
      <name val="Calibri"/>
      <family val="2"/>
      <scheme val="minor"/>
    </font>
    <font>
      <b/>
      <sz val="11"/>
      <color theme="0"/>
      <name val="Calibri"/>
      <family val="2"/>
      <scheme val="minor"/>
    </font>
    <font>
      <u/>
      <sz val="11"/>
      <color theme="10"/>
      <name val="Calibri"/>
      <family val="2"/>
      <scheme val="minor"/>
    </font>
    <font>
      <b/>
      <sz val="11"/>
      <color theme="1"/>
      <name val="Calibri"/>
      <family val="2"/>
      <scheme val="minor"/>
    </font>
    <font>
      <sz val="11"/>
      <color theme="0"/>
      <name val="Calibri"/>
      <family val="2"/>
      <scheme val="minor"/>
    </font>
    <font>
      <sz val="11"/>
      <name val="Calibri"/>
      <family val="2"/>
      <scheme val="minor"/>
    </font>
    <font>
      <sz val="12"/>
      <name val="Calibri"/>
      <family val="2"/>
    </font>
    <font>
      <b/>
      <sz val="12"/>
      <name val="Calibri"/>
      <family val="2"/>
    </font>
    <font>
      <sz val="9"/>
      <color rgb="FF000000"/>
      <name val="Calibri"/>
      <family val="2"/>
    </font>
    <font>
      <sz val="9"/>
      <color theme="0"/>
      <name val="Calibri"/>
      <family val="2"/>
    </font>
    <font>
      <b/>
      <sz val="12"/>
      <color theme="1"/>
      <name val="Calibri"/>
      <family val="2"/>
      <scheme val="minor"/>
    </font>
    <font>
      <b/>
      <sz val="12"/>
      <color rgb="FFA6A6A6"/>
      <name val="Calibri"/>
      <family val="2"/>
      <scheme val="minor"/>
    </font>
    <font>
      <b/>
      <sz val="12"/>
      <color theme="0"/>
      <name val="Calibri"/>
      <family val="2"/>
      <scheme val="minor"/>
    </font>
    <font>
      <b/>
      <sz val="12"/>
      <color theme="0" tint="-0.499984740745262"/>
      <name val="Calibri"/>
      <family val="2"/>
      <scheme val="minor"/>
    </font>
    <font>
      <sz val="14"/>
      <name val="Calibri"/>
      <family val="2"/>
      <scheme val="minor"/>
    </font>
    <font>
      <b/>
      <sz val="18"/>
      <color theme="0"/>
      <name val="Calibri"/>
      <family val="2"/>
    </font>
    <font>
      <sz val="11"/>
      <name val="Calibri"/>
      <family val="2"/>
    </font>
    <font>
      <b/>
      <sz val="11"/>
      <name val="Calibri"/>
      <family val="2"/>
    </font>
    <font>
      <sz val="11"/>
      <color rgb="FF000000"/>
      <name val="Calibri"/>
      <family val="2"/>
    </font>
    <font>
      <sz val="11"/>
      <color rgb="FF305496"/>
      <name val="Calibri"/>
      <family val="2"/>
    </font>
    <font>
      <sz val="11"/>
      <color rgb="FF006100"/>
      <name val="Calibri"/>
      <family val="2"/>
      <scheme val="minor"/>
    </font>
    <font>
      <sz val="11"/>
      <color rgb="FF9C0006"/>
      <name val="Calibri"/>
      <family val="2"/>
      <scheme val="minor"/>
    </font>
    <font>
      <sz val="11"/>
      <color rgb="FF000000"/>
      <name val="Calibri"/>
      <family val="2"/>
      <scheme val="minor"/>
    </font>
    <font>
      <sz val="12"/>
      <color rgb="FF000000"/>
      <name val="Calibri"/>
      <family val="2"/>
    </font>
    <font>
      <sz val="14"/>
      <color theme="1"/>
      <name val="Calibri"/>
      <family val="2"/>
      <scheme val="minor"/>
    </font>
    <font>
      <sz val="11"/>
      <color theme="1"/>
      <name val="Calibri"/>
      <family val="2"/>
      <scheme val="minor"/>
    </font>
    <font>
      <sz val="11"/>
      <color rgb="FF9C5700"/>
      <name val="Calibri"/>
      <family val="2"/>
      <scheme val="minor"/>
    </font>
    <font>
      <sz val="11"/>
      <color theme="0"/>
      <name val="Calibri"/>
      <family val="2"/>
      <scheme val="minor"/>
    </font>
    <font>
      <b/>
      <sz val="10"/>
      <color theme="1"/>
      <name val="Calibri"/>
      <family val="2"/>
      <scheme val="minor"/>
    </font>
    <font>
      <sz val="10"/>
      <color theme="1"/>
      <name val="Calibri"/>
      <family val="2"/>
      <scheme val="minor"/>
    </font>
    <font>
      <b/>
      <sz val="12"/>
      <color theme="1" tint="0.34998626667073579"/>
      <name val="Calibri"/>
      <family val="2"/>
      <scheme val="minor"/>
    </font>
    <font>
      <sz val="11"/>
      <color theme="1" tint="0.499984740745262"/>
      <name val="Calibri"/>
      <family val="2"/>
      <scheme val="minor"/>
    </font>
    <font>
      <sz val="14"/>
      <color rgb="FF000000"/>
      <name val="Calibri"/>
      <family val="2"/>
      <scheme val="minor"/>
    </font>
    <font>
      <sz val="11"/>
      <color rgb="FFD0021B"/>
      <name val="SFMono-Regular"/>
      <charset val="1"/>
    </font>
    <font>
      <sz val="12"/>
      <color rgb="FF1E1E1E"/>
      <name val="Segoe UI"/>
      <family val="2"/>
    </font>
    <font>
      <sz val="11"/>
      <color rgb="FF444444"/>
      <name val="Calibri"/>
      <family val="2"/>
      <charset val="1"/>
    </font>
    <font>
      <sz val="11"/>
      <color rgb="FF444444"/>
      <name val="Calibri"/>
      <family val="2"/>
    </font>
    <font>
      <b/>
      <sz val="12"/>
      <color rgb="FF000000"/>
      <name val="Calibri"/>
      <family val="2"/>
    </font>
    <font>
      <sz val="12"/>
      <color theme="1"/>
      <name val="Calibri"/>
      <family val="2"/>
      <scheme val="minor"/>
    </font>
    <font>
      <b/>
      <sz val="36"/>
      <color rgb="FFFFFFFF"/>
      <name val="Calibri"/>
      <family val="2"/>
      <scheme val="minor"/>
    </font>
    <font>
      <sz val="24"/>
      <color rgb="FFFFFFFF"/>
      <name val="Calibri"/>
      <family val="2"/>
      <scheme val="minor"/>
    </font>
    <font>
      <b/>
      <sz val="14"/>
      <color rgb="FF000000"/>
      <name val="Calibri"/>
      <family val="2"/>
    </font>
    <font>
      <b/>
      <sz val="14"/>
      <color theme="1"/>
      <name val="Calibri"/>
      <family val="2"/>
      <scheme val="minor"/>
    </font>
    <font>
      <sz val="12"/>
      <color rgb="FFFF0000"/>
      <name val="Calibri"/>
      <family val="2"/>
      <scheme val="minor"/>
    </font>
    <font>
      <sz val="11"/>
      <color rgb="FF000000"/>
      <name val="Calibri"/>
      <family val="2"/>
      <charset val="1"/>
    </font>
    <font>
      <sz val="12"/>
      <color theme="5" tint="0.39997558519241921"/>
      <name val="Calibri"/>
      <family val="2"/>
    </font>
  </fonts>
  <fills count="28">
    <fill>
      <patternFill patternType="none"/>
    </fill>
    <fill>
      <patternFill patternType="gray125"/>
    </fill>
    <fill>
      <patternFill patternType="solid">
        <fgColor rgb="FFA5A5A5"/>
      </patternFill>
    </fill>
    <fill>
      <patternFill patternType="solid">
        <fgColor rgb="FFF9F9F9"/>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rgb="FFE7E6E6"/>
        <bgColor rgb="FF000000"/>
      </patternFill>
    </fill>
    <fill>
      <patternFill patternType="solid">
        <fgColor rgb="FFD6DCE4"/>
        <bgColor rgb="FF000000"/>
      </patternFill>
    </fill>
    <fill>
      <patternFill patternType="solid">
        <fgColor rgb="FFC6EFCE"/>
      </patternFill>
    </fill>
    <fill>
      <patternFill patternType="solid">
        <fgColor rgb="FFFFC7CE"/>
      </patternFill>
    </fill>
    <fill>
      <patternFill patternType="solid">
        <fgColor theme="4" tint="0.79998168889431442"/>
        <bgColor theme="4" tint="0.79998168889431442"/>
      </patternFill>
    </fill>
    <fill>
      <patternFill patternType="solid">
        <fgColor rgb="FFF8CBAD"/>
        <bgColor indexed="64"/>
      </patternFill>
    </fill>
    <fill>
      <patternFill patternType="solid">
        <fgColor rgb="FFFFFFFF"/>
        <bgColor indexed="64"/>
      </patternFill>
    </fill>
    <fill>
      <patternFill patternType="solid">
        <fgColor rgb="FF92D050"/>
        <bgColor rgb="FF000000"/>
      </patternFill>
    </fill>
    <fill>
      <patternFill patternType="solid">
        <fgColor rgb="FFFFFF00"/>
        <bgColor rgb="FF000000"/>
      </patternFill>
    </fill>
    <fill>
      <patternFill patternType="solid">
        <fgColor rgb="FFFFC000"/>
        <bgColor rgb="FF000000"/>
      </patternFill>
    </fill>
    <fill>
      <patternFill patternType="solid">
        <fgColor rgb="FFFF0000"/>
        <bgColor rgb="FF000000"/>
      </patternFill>
    </fill>
    <fill>
      <patternFill patternType="solid">
        <fgColor rgb="FFC65911"/>
        <bgColor rgb="FF000000"/>
      </patternFill>
    </fill>
    <fill>
      <patternFill patternType="solid">
        <fgColor rgb="FFFFEB9C"/>
      </patternFill>
    </fill>
    <fill>
      <patternFill patternType="solid">
        <fgColor theme="4"/>
      </patternFill>
    </fill>
    <fill>
      <patternFill patternType="solid">
        <fgColor theme="9" tint="0.39997558519241921"/>
        <bgColor indexed="64"/>
      </patternFill>
    </fill>
    <fill>
      <patternFill patternType="solid">
        <fgColor rgb="FF0070C0"/>
        <bgColor indexed="64"/>
      </patternFill>
    </fill>
    <fill>
      <patternFill patternType="solid">
        <fgColor theme="0"/>
        <bgColor indexed="64"/>
      </patternFill>
    </fill>
    <fill>
      <patternFill patternType="solid">
        <fgColor rgb="FFA9D08E"/>
        <bgColor rgb="FF000000"/>
      </patternFill>
    </fill>
    <fill>
      <patternFill patternType="solid">
        <fgColor rgb="FF548235"/>
        <bgColor indexed="64"/>
      </patternFill>
    </fill>
    <fill>
      <patternFill patternType="solid">
        <fgColor rgb="FF70AD47"/>
        <bgColor indexed="64"/>
      </patternFill>
    </fill>
    <fill>
      <patternFill patternType="solid">
        <fgColor rgb="FFFFFF00"/>
        <bgColor indexed="64"/>
      </patternFill>
    </fill>
    <fill>
      <patternFill patternType="solid">
        <fgColor theme="1"/>
        <bgColor indexed="64"/>
      </patternFill>
    </fill>
  </fills>
  <borders count="23">
    <border>
      <left/>
      <right/>
      <top/>
      <bottom/>
      <diagonal/>
    </border>
    <border>
      <left style="double">
        <color rgb="FF3F3F3F"/>
      </left>
      <right style="double">
        <color rgb="FF3F3F3F"/>
      </right>
      <top style="double">
        <color rgb="FF3F3F3F"/>
      </top>
      <bottom style="double">
        <color rgb="FF3F3F3F"/>
      </bottom>
      <diagonal/>
    </border>
    <border>
      <left/>
      <right/>
      <top/>
      <bottom style="double">
        <color rgb="FF3F3F3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DDDDDD"/>
      </left>
      <right style="medium">
        <color rgb="FFDDDDDD"/>
      </right>
      <top style="medium">
        <color rgb="FFDDDDDD"/>
      </top>
      <bottom style="medium">
        <color rgb="FFDDDDDD"/>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theme="4" tint="0.39997558519241921"/>
      </top>
      <bottom style="thin">
        <color indexed="64"/>
      </bottom>
      <diagonal/>
    </border>
    <border>
      <left style="thin">
        <color rgb="FF000000"/>
      </left>
      <right style="thin">
        <color rgb="FF000000"/>
      </right>
      <top style="thin">
        <color theme="4" tint="0.39997558519241921"/>
      </top>
      <bottom style="thin">
        <color rgb="FF000000"/>
      </bottom>
      <diagonal/>
    </border>
    <border>
      <left/>
      <right style="thin">
        <color indexed="64"/>
      </right>
      <top style="thin">
        <color theme="4" tint="0.39997558519241921"/>
      </top>
      <bottom style="thin">
        <color indexed="64"/>
      </bottom>
      <diagonal/>
    </border>
    <border>
      <left style="thin">
        <color rgb="FF000000"/>
      </left>
      <right style="thin">
        <color rgb="FF000000"/>
      </right>
      <top style="thin">
        <color rgb="FF000000"/>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top/>
      <bottom style="thin">
        <color indexed="64"/>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theme="9"/>
      </left>
      <right/>
      <top style="thin">
        <color theme="9"/>
      </top>
      <bottom/>
      <diagonal/>
    </border>
  </borders>
  <cellStyleXfs count="8">
    <xf numFmtId="0" fontId="0" fillId="0" borderId="0"/>
    <xf numFmtId="0" fontId="1" fillId="2" borderId="1" applyNumberFormat="0" applyAlignment="0" applyProtection="0"/>
    <xf numFmtId="0" fontId="2" fillId="0" borderId="0" applyNumberFormat="0" applyFill="0" applyBorder="0" applyAlignment="0" applyProtection="0"/>
    <xf numFmtId="0" fontId="20" fillId="8" borderId="0" applyNumberFormat="0" applyBorder="0" applyAlignment="0" applyProtection="0"/>
    <xf numFmtId="0" fontId="21" fillId="9" borderId="0" applyNumberFormat="0" applyBorder="0" applyAlignment="0" applyProtection="0"/>
    <xf numFmtId="9" fontId="25" fillId="0" borderId="0" applyFont="0" applyFill="0" applyBorder="0" applyAlignment="0" applyProtection="0"/>
    <xf numFmtId="0" fontId="26" fillId="18" borderId="0" applyNumberFormat="0" applyBorder="0" applyAlignment="0" applyProtection="0"/>
    <xf numFmtId="0" fontId="27" fillId="19" borderId="0" applyNumberFormat="0" applyBorder="0" applyAlignment="0" applyProtection="0"/>
  </cellStyleXfs>
  <cellXfs count="193">
    <xf numFmtId="0" fontId="0" fillId="0" borderId="0" xfId="0"/>
    <xf numFmtId="0" fontId="3" fillId="0" borderId="0" xfId="0" applyFont="1" applyAlignment="1">
      <alignment horizontal="center" vertical="center"/>
    </xf>
    <xf numFmtId="0" fontId="4" fillId="0" borderId="0" xfId="0" applyFont="1"/>
    <xf numFmtId="0" fontId="7" fillId="0" borderId="3" xfId="0" applyFont="1" applyBorder="1"/>
    <xf numFmtId="0" fontId="8" fillId="3" borderId="6" xfId="0" applyFont="1" applyFill="1" applyBorder="1" applyAlignment="1">
      <alignment vertical="center"/>
    </xf>
    <xf numFmtId="0" fontId="1" fillId="2" borderId="1" xfId="1" applyAlignment="1"/>
    <xf numFmtId="0" fontId="9" fillId="3" borderId="6" xfId="0" applyFont="1" applyFill="1" applyBorder="1" applyAlignment="1">
      <alignment vertical="center"/>
    </xf>
    <xf numFmtId="0" fontId="10" fillId="0" borderId="3" xfId="0" applyFont="1" applyBorder="1" applyAlignment="1">
      <alignment horizontal="center"/>
    </xf>
    <xf numFmtId="0" fontId="0" fillId="0" borderId="0" xfId="0" applyAlignment="1">
      <alignment horizontal="center" vertical="center"/>
    </xf>
    <xf numFmtId="0" fontId="14" fillId="4" borderId="3" xfId="0" applyFont="1" applyFill="1" applyBorder="1"/>
    <xf numFmtId="0" fontId="0" fillId="4" borderId="3" xfId="0" applyFill="1" applyBorder="1" applyAlignment="1">
      <alignment horizontal="center"/>
    </xf>
    <xf numFmtId="14" fontId="0" fillId="4" borderId="3" xfId="0" applyNumberFormat="1" applyFill="1" applyBorder="1" applyAlignment="1">
      <alignment horizontal="center"/>
    </xf>
    <xf numFmtId="0" fontId="0" fillId="4" borderId="3" xfId="0" applyFill="1" applyBorder="1" applyAlignment="1">
      <alignment horizontal="center" vertical="center"/>
    </xf>
    <xf numFmtId="14" fontId="0" fillId="4" borderId="3" xfId="0" applyNumberFormat="1" applyFill="1" applyBorder="1"/>
    <xf numFmtId="0" fontId="0" fillId="4" borderId="3" xfId="0" applyFill="1" applyBorder="1"/>
    <xf numFmtId="0" fontId="0" fillId="0" borderId="3" xfId="0" applyBorder="1"/>
    <xf numFmtId="0" fontId="4" fillId="0" borderId="3" xfId="0" applyFont="1" applyBorder="1" applyAlignment="1">
      <alignment horizontal="center"/>
    </xf>
    <xf numFmtId="14" fontId="0" fillId="0" borderId="3" xfId="0" applyNumberFormat="1" applyBorder="1" applyAlignment="1">
      <alignment horizontal="center"/>
    </xf>
    <xf numFmtId="14" fontId="0" fillId="0" borderId="3" xfId="0" applyNumberFormat="1" applyBorder="1"/>
    <xf numFmtId="0" fontId="0" fillId="0" borderId="7" xfId="0" applyBorder="1"/>
    <xf numFmtId="0" fontId="13" fillId="0" borderId="3" xfId="0" applyFont="1" applyBorder="1" applyAlignment="1">
      <alignment horizontal="center"/>
    </xf>
    <xf numFmtId="0" fontId="0" fillId="0" borderId="10" xfId="0" applyBorder="1"/>
    <xf numFmtId="0" fontId="0" fillId="0" borderId="11" xfId="0" applyBorder="1"/>
    <xf numFmtId="0" fontId="4" fillId="0" borderId="3" xfId="0" applyFont="1" applyBorder="1"/>
    <xf numFmtId="0" fontId="15" fillId="5" borderId="3" xfId="0" applyFont="1" applyFill="1" applyBorder="1" applyAlignment="1">
      <alignment horizontal="center" vertical="center"/>
    </xf>
    <xf numFmtId="0" fontId="3" fillId="0" borderId="3" xfId="0" applyFont="1" applyBorder="1" applyAlignment="1">
      <alignment horizontal="center" vertical="center"/>
    </xf>
    <xf numFmtId="0" fontId="16" fillId="0" borderId="3" xfId="0" applyFont="1" applyBorder="1"/>
    <xf numFmtId="0" fontId="5" fillId="0" borderId="3" xfId="0" applyFont="1" applyBorder="1"/>
    <xf numFmtId="0" fontId="2" fillId="0" borderId="3" xfId="2" applyBorder="1" applyAlignment="1">
      <alignment horizontal="left" vertical="center"/>
    </xf>
    <xf numFmtId="0" fontId="16" fillId="0" borderId="3" xfId="0" applyFont="1" applyBorder="1" applyAlignment="1">
      <alignment horizontal="center" vertical="center"/>
    </xf>
    <xf numFmtId="0" fontId="6" fillId="0" borderId="3" xfId="0" applyFont="1" applyBorder="1"/>
    <xf numFmtId="0" fontId="7" fillId="0" borderId="3" xfId="0" applyFont="1" applyBorder="1" applyAlignment="1">
      <alignment horizontal="center" vertical="center"/>
    </xf>
    <xf numFmtId="0" fontId="17" fillId="0" borderId="3" xfId="0" applyFont="1" applyBorder="1"/>
    <xf numFmtId="0" fontId="18" fillId="0" borderId="0" xfId="0" applyFont="1"/>
    <xf numFmtId="0" fontId="19" fillId="0" borderId="0" xfId="0" applyFont="1"/>
    <xf numFmtId="0" fontId="18" fillId="0" borderId="0" xfId="0" applyFont="1" applyAlignment="1">
      <alignment horizontal="center" vertical="center"/>
    </xf>
    <xf numFmtId="0" fontId="18" fillId="0" borderId="3" xfId="0" applyFont="1" applyBorder="1"/>
    <xf numFmtId="14" fontId="18" fillId="0" borderId="3" xfId="0" applyNumberFormat="1" applyFont="1" applyBorder="1"/>
    <xf numFmtId="0" fontId="18" fillId="6" borderId="3" xfId="0" applyFont="1" applyFill="1" applyBorder="1"/>
    <xf numFmtId="14" fontId="18" fillId="6" borderId="3" xfId="0" applyNumberFormat="1" applyFont="1" applyFill="1" applyBorder="1"/>
    <xf numFmtId="0" fontId="18" fillId="7" borderId="3" xfId="0" applyFont="1" applyFill="1" applyBorder="1"/>
    <xf numFmtId="0" fontId="0" fillId="0" borderId="5" xfId="0" applyBorder="1"/>
    <xf numFmtId="0" fontId="0" fillId="10" borderId="5" xfId="0" applyFill="1" applyBorder="1" applyAlignment="1">
      <alignment horizontal="center"/>
    </xf>
    <xf numFmtId="0" fontId="0" fillId="10" borderId="5" xfId="0" applyFill="1" applyBorder="1"/>
    <xf numFmtId="0" fontId="0" fillId="0" borderId="5" xfId="0" applyBorder="1" applyAlignment="1">
      <alignment horizontal="center"/>
    </xf>
    <xf numFmtId="0" fontId="2" fillId="10" borderId="5" xfId="2" applyFill="1" applyBorder="1" applyAlignment="1"/>
    <xf numFmtId="0" fontId="0" fillId="10" borderId="5" xfId="0" applyFill="1" applyBorder="1" applyAlignment="1">
      <alignment wrapText="1"/>
    </xf>
    <xf numFmtId="0" fontId="0" fillId="0" borderId="12" xfId="0" applyBorder="1" applyAlignment="1">
      <alignment horizontal="center"/>
    </xf>
    <xf numFmtId="0" fontId="0" fillId="0" borderId="12" xfId="0" applyBorder="1"/>
    <xf numFmtId="0" fontId="2" fillId="0" borderId="13" xfId="2" applyBorder="1" applyAlignment="1"/>
    <xf numFmtId="0" fontId="0" fillId="10" borderId="3" xfId="0" applyFill="1" applyBorder="1" applyAlignment="1">
      <alignment horizontal="center"/>
    </xf>
    <xf numFmtId="0" fontId="0" fillId="10" borderId="3" xfId="0" applyFill="1" applyBorder="1"/>
    <xf numFmtId="0" fontId="2" fillId="10" borderId="12" xfId="2" applyFill="1" applyBorder="1"/>
    <xf numFmtId="0" fontId="0" fillId="0" borderId="15" xfId="0" applyBorder="1" applyAlignment="1">
      <alignment horizontal="center"/>
    </xf>
    <xf numFmtId="0" fontId="0" fillId="0" borderId="15" xfId="0" applyBorder="1"/>
    <xf numFmtId="0" fontId="2" fillId="0" borderId="16" xfId="2" applyBorder="1"/>
    <xf numFmtId="0" fontId="2" fillId="10" borderId="16" xfId="2" applyFill="1" applyBorder="1"/>
    <xf numFmtId="0" fontId="23" fillId="10" borderId="3" xfId="0" applyFont="1" applyFill="1" applyBorder="1"/>
    <xf numFmtId="0" fontId="23" fillId="0" borderId="3" xfId="0" applyFont="1" applyBorder="1"/>
    <xf numFmtId="0" fontId="23" fillId="10" borderId="3" xfId="3" applyFont="1" applyFill="1" applyBorder="1" applyAlignment="1"/>
    <xf numFmtId="0" fontId="23" fillId="0" borderId="3" xfId="0" applyFont="1" applyBorder="1" applyAlignment="1">
      <alignment vertical="top"/>
    </xf>
    <xf numFmtId="0" fontId="23" fillId="10" borderId="17" xfId="0" applyFont="1" applyFill="1" applyBorder="1"/>
    <xf numFmtId="3" fontId="0" fillId="0" borderId="0" xfId="0" applyNumberFormat="1"/>
    <xf numFmtId="17" fontId="0" fillId="0" borderId="0" xfId="0" applyNumberFormat="1"/>
    <xf numFmtId="0" fontId="22" fillId="0" borderId="0" xfId="4" applyFont="1" applyFill="1" applyBorder="1" applyAlignment="1"/>
    <xf numFmtId="0" fontId="23" fillId="10" borderId="3" xfId="3" applyFont="1" applyFill="1" applyBorder="1" applyAlignment="1">
      <alignment wrapText="1"/>
    </xf>
    <xf numFmtId="0" fontId="23" fillId="0" borderId="3" xfId="0" applyFont="1" applyBorder="1" applyAlignment="1">
      <alignment vertical="top" wrapText="1"/>
    </xf>
    <xf numFmtId="0" fontId="0" fillId="11" borderId="5" xfId="0" applyFill="1" applyBorder="1" applyAlignment="1">
      <alignment horizontal="center"/>
    </xf>
    <xf numFmtId="0" fontId="22" fillId="12" borderId="5" xfId="4" applyFont="1" applyFill="1" applyBorder="1" applyAlignment="1"/>
    <xf numFmtId="0" fontId="4" fillId="0" borderId="5" xfId="0" applyFont="1" applyBorder="1"/>
    <xf numFmtId="0" fontId="5" fillId="0" borderId="5" xfId="0" applyFont="1" applyBorder="1"/>
    <xf numFmtId="0" fontId="7" fillId="0" borderId="7" xfId="0" applyFont="1" applyBorder="1"/>
    <xf numFmtId="0" fontId="1" fillId="0" borderId="0" xfId="0" applyFont="1" applyAlignment="1">
      <alignment horizontal="center" vertical="center"/>
    </xf>
    <xf numFmtId="0" fontId="18" fillId="13" borderId="0" xfId="0" applyFont="1" applyFill="1"/>
    <xf numFmtId="0" fontId="18" fillId="14" borderId="0" xfId="0" applyFont="1" applyFill="1"/>
    <xf numFmtId="0" fontId="18" fillId="15" borderId="4" xfId="0" applyFont="1" applyFill="1" applyBorder="1"/>
    <xf numFmtId="0" fontId="18" fillId="16" borderId="0" xfId="0" applyFont="1" applyFill="1"/>
    <xf numFmtId="0" fontId="18" fillId="17" borderId="0" xfId="0" applyFont="1" applyFill="1"/>
    <xf numFmtId="0" fontId="18" fillId="0" borderId="17" xfId="0" applyFont="1" applyBorder="1"/>
    <xf numFmtId="0" fontId="15" fillId="5" borderId="0" xfId="0" applyFont="1" applyFill="1" applyAlignment="1">
      <alignment horizontal="center" vertical="center"/>
    </xf>
    <xf numFmtId="0" fontId="23" fillId="5" borderId="3" xfId="0" applyFont="1" applyFill="1" applyBorder="1" applyAlignment="1">
      <alignment horizontal="center" vertical="center"/>
    </xf>
    <xf numFmtId="0" fontId="2" fillId="5" borderId="3" xfId="2" applyFill="1" applyBorder="1" applyAlignment="1"/>
    <xf numFmtId="0" fontId="18" fillId="5" borderId="3" xfId="0" applyFont="1" applyFill="1" applyBorder="1" applyAlignment="1">
      <alignment horizontal="center" vertical="center"/>
    </xf>
    <xf numFmtId="0" fontId="24" fillId="0" borderId="0" xfId="0" applyFont="1"/>
    <xf numFmtId="0" fontId="0" fillId="0" borderId="0" xfId="0" applyAlignment="1">
      <alignment horizontal="center"/>
    </xf>
    <xf numFmtId="0" fontId="12" fillId="0" borderId="5" xfId="0" applyFont="1" applyBorder="1" applyAlignment="1">
      <alignment horizontal="center"/>
    </xf>
    <xf numFmtId="0" fontId="10" fillId="0" borderId="5" xfId="0" applyFont="1" applyBorder="1" applyAlignment="1">
      <alignment horizontal="center"/>
    </xf>
    <xf numFmtId="0" fontId="11" fillId="0" borderId="4" xfId="0" applyFont="1" applyBorder="1" applyAlignment="1">
      <alignment horizontal="center"/>
    </xf>
    <xf numFmtId="14" fontId="0" fillId="0" borderId="0" xfId="0" applyNumberFormat="1"/>
    <xf numFmtId="0" fontId="0" fillId="0" borderId="0" xfId="0" applyAlignment="1">
      <alignment wrapText="1"/>
    </xf>
    <xf numFmtId="0" fontId="2" fillId="0" borderId="0" xfId="2"/>
    <xf numFmtId="0" fontId="4" fillId="21" borderId="0" xfId="0" applyFont="1" applyFill="1"/>
    <xf numFmtId="0" fontId="0" fillId="0" borderId="5" xfId="0" applyBorder="1" applyAlignment="1">
      <alignment horizontal="center" vertical="center" wrapText="1"/>
    </xf>
    <xf numFmtId="0" fontId="0" fillId="0" borderId="5" xfId="0" applyBorder="1" applyAlignment="1">
      <alignment horizontal="center" wrapText="1"/>
    </xf>
    <xf numFmtId="0" fontId="29" fillId="0" borderId="0" xfId="0" applyFont="1"/>
    <xf numFmtId="0" fontId="10" fillId="0" borderId="0" xfId="0" applyFont="1" applyAlignment="1">
      <alignment horizontal="center" vertical="center" textRotation="45"/>
    </xf>
    <xf numFmtId="0" fontId="10" fillId="0" borderId="0" xfId="0" applyFont="1"/>
    <xf numFmtId="0" fontId="30" fillId="0" borderId="0" xfId="0" applyFont="1" applyAlignment="1">
      <alignment horizontal="center" vertical="center" textRotation="45"/>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vertical="center"/>
    </xf>
    <xf numFmtId="0" fontId="27" fillId="0" borderId="3" xfId="7" applyFill="1" applyBorder="1" applyAlignment="1">
      <alignment horizontal="center"/>
    </xf>
    <xf numFmtId="14" fontId="3" fillId="0" borderId="3" xfId="0" applyNumberFormat="1" applyFont="1" applyBorder="1" applyAlignment="1">
      <alignment horizontal="center" wrapText="1"/>
    </xf>
    <xf numFmtId="14" fontId="3" fillId="0" borderId="3" xfId="0" applyNumberFormat="1" applyFont="1" applyBorder="1" applyAlignment="1">
      <alignment horizontal="center"/>
    </xf>
    <xf numFmtId="14" fontId="5" fillId="0" borderId="3" xfId="6" applyNumberFormat="1" applyFont="1" applyFill="1" applyBorder="1" applyAlignment="1">
      <alignment horizontal="center"/>
    </xf>
    <xf numFmtId="0" fontId="3" fillId="0" borderId="3" xfId="0" applyFont="1" applyBorder="1" applyAlignment="1">
      <alignment horizontal="center" wrapText="1"/>
    </xf>
    <xf numFmtId="0" fontId="3" fillId="0" borderId="3" xfId="0" applyFont="1" applyBorder="1" applyAlignment="1">
      <alignment horizontal="center"/>
    </xf>
    <xf numFmtId="14" fontId="31" fillId="0" borderId="3" xfId="0" applyNumberFormat="1" applyFont="1" applyBorder="1" applyAlignment="1">
      <alignment horizontal="center"/>
    </xf>
    <xf numFmtId="0" fontId="32" fillId="12" borderId="3" xfId="0" applyFont="1" applyFill="1" applyBorder="1"/>
    <xf numFmtId="0" fontId="33" fillId="0" borderId="0" xfId="0" quotePrefix="1" applyFont="1" applyAlignment="1">
      <alignment wrapText="1"/>
    </xf>
    <xf numFmtId="14" fontId="34" fillId="0" borderId="0" xfId="0" quotePrefix="1" applyNumberFormat="1" applyFont="1"/>
    <xf numFmtId="14" fontId="35" fillId="0" borderId="0" xfId="0" quotePrefix="1" applyNumberFormat="1" applyFont="1"/>
    <xf numFmtId="0" fontId="36" fillId="0" borderId="0" xfId="0" applyFont="1"/>
    <xf numFmtId="0" fontId="3" fillId="0" borderId="5" xfId="0" applyFont="1" applyBorder="1" applyAlignment="1">
      <alignment vertical="top" wrapText="1"/>
    </xf>
    <xf numFmtId="0" fontId="2" fillId="10" borderId="20" xfId="2" applyFill="1" applyBorder="1"/>
    <xf numFmtId="0" fontId="2" fillId="0" borderId="20" xfId="2" applyBorder="1"/>
    <xf numFmtId="0" fontId="2" fillId="10" borderId="20" xfId="2" applyFill="1" applyBorder="1" applyAlignment="1"/>
    <xf numFmtId="0" fontId="0" fillId="10" borderId="21" xfId="0" applyFill="1" applyBorder="1"/>
    <xf numFmtId="0" fontId="0" fillId="0" borderId="21" xfId="0" applyBorder="1"/>
    <xf numFmtId="0" fontId="37" fillId="0" borderId="3" xfId="0" applyFont="1" applyBorder="1" applyAlignment="1">
      <alignment vertical="top" wrapText="1"/>
    </xf>
    <xf numFmtId="0" fontId="2" fillId="0" borderId="3" xfId="2" applyBorder="1" applyAlignment="1"/>
    <xf numFmtId="0" fontId="18" fillId="0" borderId="3" xfId="0" applyFont="1" applyBorder="1" applyAlignment="1">
      <alignment horizontal="center" vertical="center"/>
    </xf>
    <xf numFmtId="0" fontId="38" fillId="0" borderId="7" xfId="0" applyFont="1" applyBorder="1"/>
    <xf numFmtId="0" fontId="18" fillId="23" borderId="3" xfId="0" applyFont="1" applyFill="1" applyBorder="1"/>
    <xf numFmtId="0" fontId="15" fillId="5" borderId="17" xfId="0" applyFont="1" applyFill="1" applyBorder="1" applyAlignment="1">
      <alignment horizontal="center" vertical="center"/>
    </xf>
    <xf numFmtId="0" fontId="3" fillId="10" borderId="5" xfId="0" applyFont="1" applyFill="1" applyBorder="1" applyAlignment="1">
      <alignment horizontal="center"/>
    </xf>
    <xf numFmtId="0" fontId="3" fillId="0" borderId="5" xfId="0" applyFont="1" applyBorder="1" applyAlignment="1">
      <alignment horizontal="center"/>
    </xf>
    <xf numFmtId="14" fontId="0" fillId="0" borderId="3" xfId="0" applyNumberFormat="1" applyBorder="1" applyAlignment="1">
      <alignment vertical="center"/>
    </xf>
    <xf numFmtId="0" fontId="41" fillId="0" borderId="0" xfId="0" applyFont="1"/>
    <xf numFmtId="0" fontId="42" fillId="0" borderId="0" xfId="0" applyFont="1" applyAlignment="1">
      <alignment horizontal="center" vertical="center"/>
    </xf>
    <xf numFmtId="0" fontId="0" fillId="26" borderId="5" xfId="0" applyFill="1" applyBorder="1" applyAlignment="1">
      <alignment horizontal="center"/>
    </xf>
    <xf numFmtId="0" fontId="43" fillId="0" borderId="5" xfId="0" applyFont="1" applyBorder="1"/>
    <xf numFmtId="0" fontId="0" fillId="0" borderId="0" xfId="0" applyAlignment="1">
      <alignment horizontal="center" vertical="center" wrapText="1"/>
    </xf>
    <xf numFmtId="0" fontId="0" fillId="0" borderId="20" xfId="0" applyBorder="1" applyAlignment="1">
      <alignment horizontal="center"/>
    </xf>
    <xf numFmtId="0" fontId="0" fillId="0" borderId="4" xfId="0" applyBorder="1"/>
    <xf numFmtId="0" fontId="44" fillId="0" borderId="0" xfId="0" applyFont="1"/>
    <xf numFmtId="14" fontId="0" fillId="0" borderId="5" xfId="0" applyNumberFormat="1" applyBorder="1" applyAlignment="1">
      <alignment horizontal="center"/>
    </xf>
    <xf numFmtId="14" fontId="0" fillId="0" borderId="4" xfId="0" applyNumberFormat="1" applyBorder="1" applyAlignment="1">
      <alignment horizontal="center"/>
    </xf>
    <xf numFmtId="0" fontId="0" fillId="10" borderId="21" xfId="0" applyFill="1" applyBorder="1" applyAlignment="1">
      <alignment horizontal="center"/>
    </xf>
    <xf numFmtId="0" fontId="3" fillId="0" borderId="7" xfId="0" applyFont="1" applyBorder="1" applyAlignment="1">
      <alignment horizontal="center" wrapText="1"/>
    </xf>
    <xf numFmtId="14" fontId="3" fillId="0" borderId="7" xfId="0" applyNumberFormat="1" applyFont="1" applyBorder="1" applyAlignment="1">
      <alignment horizontal="center" wrapText="1"/>
    </xf>
    <xf numFmtId="0" fontId="10" fillId="0" borderId="5" xfId="0" applyFont="1" applyBorder="1" applyAlignment="1">
      <alignment horizontal="center" vertical="center" textRotation="45"/>
    </xf>
    <xf numFmtId="0" fontId="0" fillId="0" borderId="21" xfId="0" applyBorder="1" applyAlignment="1">
      <alignment horizontal="center" vertical="center" wrapText="1"/>
    </xf>
    <xf numFmtId="0" fontId="0" fillId="0" borderId="21" xfId="0" applyBorder="1" applyAlignment="1">
      <alignment horizontal="center" wrapText="1"/>
    </xf>
    <xf numFmtId="0" fontId="45" fillId="10" borderId="3" xfId="3" applyFont="1" applyFill="1" applyBorder="1" applyAlignment="1"/>
    <xf numFmtId="0" fontId="38" fillId="4" borderId="7" xfId="0" applyFont="1" applyFill="1" applyBorder="1"/>
    <xf numFmtId="0" fontId="0" fillId="27" borderId="0" xfId="0" applyFill="1"/>
    <xf numFmtId="0" fontId="0" fillId="0" borderId="22" xfId="0" applyBorder="1" applyAlignment="1">
      <alignment horizontal="center" vertical="center"/>
    </xf>
    <xf numFmtId="0" fontId="0" fillId="27" borderId="0" xfId="0" applyFill="1" applyAlignment="1">
      <alignment vertical="top"/>
    </xf>
    <xf numFmtId="0" fontId="0" fillId="0" borderId="0" xfId="0" applyAlignment="1">
      <alignment vertical="top"/>
    </xf>
    <xf numFmtId="0" fontId="15" fillId="5" borderId="3" xfId="0" applyFont="1" applyFill="1" applyBorder="1" applyAlignment="1">
      <alignment horizontal="center" vertical="top"/>
    </xf>
    <xf numFmtId="0" fontId="22" fillId="5" borderId="18" xfId="0" applyFont="1" applyFill="1" applyBorder="1" applyAlignment="1">
      <alignment vertical="top"/>
    </xf>
    <xf numFmtId="0" fontId="37" fillId="10" borderId="17" xfId="3" applyFont="1" applyFill="1" applyBorder="1" applyAlignment="1">
      <alignment vertical="top" wrapText="1"/>
    </xf>
    <xf numFmtId="0" fontId="37" fillId="0" borderId="3" xfId="0" applyFont="1" applyBorder="1" applyAlignment="1">
      <alignment vertical="top"/>
    </xf>
    <xf numFmtId="0" fontId="0" fillId="0" borderId="14" xfId="0" applyBorder="1" applyAlignment="1">
      <alignment vertical="top"/>
    </xf>
    <xf numFmtId="0" fontId="0" fillId="10" borderId="3" xfId="0" applyFill="1" applyBorder="1" applyAlignment="1">
      <alignment vertical="top"/>
    </xf>
    <xf numFmtId="0" fontId="0" fillId="0" borderId="3" xfId="0" applyBorder="1" applyAlignment="1">
      <alignment vertical="top"/>
    </xf>
    <xf numFmtId="0" fontId="5" fillId="0" borderId="3" xfId="0" applyFont="1" applyBorder="1" applyAlignment="1">
      <alignment vertical="top"/>
    </xf>
    <xf numFmtId="0" fontId="6" fillId="0" borderId="3" xfId="0" applyFont="1" applyBorder="1" applyAlignment="1">
      <alignment vertical="top"/>
    </xf>
    <xf numFmtId="0" fontId="7" fillId="0" borderId="3" xfId="0" applyFont="1" applyBorder="1" applyAlignment="1">
      <alignment vertical="top"/>
    </xf>
    <xf numFmtId="0" fontId="19" fillId="0" borderId="0" xfId="0" applyFont="1" applyAlignment="1">
      <alignment vertical="top"/>
    </xf>
    <xf numFmtId="0" fontId="4" fillId="0" borderId="3" xfId="7" applyFont="1" applyFill="1" applyBorder="1" applyAlignment="1">
      <alignment horizontal="center"/>
    </xf>
    <xf numFmtId="9" fontId="26" fillId="22" borderId="7" xfId="5" applyFont="1" applyFill="1" applyBorder="1" applyAlignment="1">
      <alignment horizontal="center"/>
    </xf>
    <xf numFmtId="0" fontId="18" fillId="0" borderId="4" xfId="0" applyFont="1" applyBorder="1" applyAlignment="1">
      <alignment wrapText="1"/>
    </xf>
    <xf numFmtId="0" fontId="18" fillId="0" borderId="9" xfId="0" applyFont="1" applyBorder="1" applyAlignment="1">
      <alignment wrapText="1"/>
    </xf>
    <xf numFmtId="0" fontId="18" fillId="0" borderId="7" xfId="0" applyFont="1" applyBorder="1" applyAlignment="1">
      <alignment wrapText="1"/>
    </xf>
    <xf numFmtId="0" fontId="40" fillId="25" borderId="0" xfId="0" applyFont="1" applyFill="1" applyAlignment="1">
      <alignment horizontal="center"/>
    </xf>
    <xf numFmtId="0" fontId="13" fillId="0" borderId="9" xfId="0" applyFont="1" applyBorder="1" applyAlignment="1">
      <alignment horizontal="center"/>
    </xf>
    <xf numFmtId="0" fontId="13" fillId="0" borderId="7" xfId="0" applyFont="1" applyBorder="1" applyAlignment="1">
      <alignment horizontal="center"/>
    </xf>
    <xf numFmtId="0" fontId="13" fillId="0" borderId="5" xfId="0" applyFont="1" applyBorder="1" applyAlignment="1">
      <alignment horizontal="center"/>
    </xf>
    <xf numFmtId="0" fontId="10" fillId="0" borderId="5" xfId="0" applyFont="1" applyBorder="1" applyAlignment="1">
      <alignment horizontal="center"/>
    </xf>
    <xf numFmtId="0" fontId="0" fillId="0" borderId="5" xfId="0" applyBorder="1" applyAlignment="1">
      <alignment horizontal="center"/>
    </xf>
    <xf numFmtId="0" fontId="13" fillId="0" borderId="19" xfId="0" applyFont="1" applyBorder="1" applyAlignment="1">
      <alignment horizontal="center"/>
    </xf>
    <xf numFmtId="0" fontId="13" fillId="0" borderId="8" xfId="0" applyFont="1" applyBorder="1" applyAlignment="1">
      <alignment horizontal="center"/>
    </xf>
    <xf numFmtId="0" fontId="4" fillId="0" borderId="2" xfId="0" applyFont="1" applyBorder="1" applyAlignment="1">
      <alignment horizontal="center"/>
    </xf>
    <xf numFmtId="0" fontId="5" fillId="0" borderId="5" xfId="0" applyFont="1" applyBorder="1" applyAlignment="1">
      <alignment horizontal="center"/>
    </xf>
    <xf numFmtId="0" fontId="22" fillId="0" borderId="5" xfId="4" applyFont="1" applyFill="1" applyBorder="1" applyAlignment="1">
      <alignment horizontal="center"/>
    </xf>
    <xf numFmtId="0" fontId="4" fillId="0" borderId="0" xfId="0" applyFont="1" applyAlignment="1">
      <alignment horizontal="center"/>
    </xf>
    <xf numFmtId="0" fontId="39" fillId="24" borderId="0" xfId="0" applyFont="1" applyFill="1" applyAlignment="1">
      <alignment horizontal="center"/>
    </xf>
    <xf numFmtId="0" fontId="0" fillId="0" borderId="0" xfId="0" applyAlignment="1">
      <alignment horizontal="center"/>
    </xf>
    <xf numFmtId="0" fontId="7" fillId="0" borderId="5" xfId="0" applyFont="1" applyBorder="1" applyAlignment="1">
      <alignment horizontal="center"/>
    </xf>
    <xf numFmtId="0" fontId="21" fillId="9" borderId="0" xfId="4" applyAlignment="1">
      <alignment horizontal="center"/>
    </xf>
    <xf numFmtId="0" fontId="26" fillId="18" borderId="0" xfId="6" applyBorder="1" applyAlignment="1">
      <alignment horizontal="center"/>
    </xf>
    <xf numFmtId="0" fontId="20" fillId="8" borderId="0" xfId="3" applyBorder="1" applyAlignment="1">
      <alignment horizontal="center"/>
    </xf>
    <xf numFmtId="0" fontId="4" fillId="20" borderId="0" xfId="0" applyFont="1" applyFill="1" applyAlignment="1">
      <alignment horizontal="center" wrapText="1"/>
    </xf>
    <xf numFmtId="0" fontId="28" fillId="0" borderId="0" xfId="0" applyFont="1" applyAlignment="1">
      <alignment horizontal="center" vertical="center" textRotation="45" wrapText="1"/>
    </xf>
    <xf numFmtId="0" fontId="28" fillId="0" borderId="19" xfId="0" applyFont="1" applyBorder="1" applyAlignment="1">
      <alignment horizontal="center" vertical="center" textRotation="45" wrapText="1"/>
    </xf>
    <xf numFmtId="0" fontId="28" fillId="0" borderId="0" xfId="0" applyFont="1" applyAlignment="1">
      <alignment horizontal="center" vertical="center" textRotation="45"/>
    </xf>
    <xf numFmtId="0" fontId="28" fillId="0" borderId="19" xfId="0" applyFont="1" applyBorder="1" applyAlignment="1">
      <alignment horizontal="center" vertical="center" textRotation="45"/>
    </xf>
    <xf numFmtId="0" fontId="18" fillId="0" borderId="4" xfId="0" applyFont="1" applyBorder="1" applyAlignment="1"/>
    <xf numFmtId="0" fontId="18" fillId="0" borderId="9" xfId="0" applyFont="1" applyBorder="1" applyAlignment="1"/>
    <xf numFmtId="0" fontId="18" fillId="0" borderId="7" xfId="0" applyFont="1" applyBorder="1" applyAlignment="1"/>
    <xf numFmtId="0" fontId="0" fillId="0" borderId="5" xfId="0" applyBorder="1" applyAlignment="1"/>
  </cellXfs>
  <cellStyles count="8">
    <cellStyle name="Accent1" xfId="7" builtinId="29"/>
    <cellStyle name="Bad" xfId="4" builtinId="27"/>
    <cellStyle name="Check Cell" xfId="1" builtinId="23"/>
    <cellStyle name="Good" xfId="3" builtinId="26"/>
    <cellStyle name="Hyperlink" xfId="2" builtinId="8"/>
    <cellStyle name="Neutral" xfId="6" builtinId="28"/>
    <cellStyle name="Normal" xfId="0" builtinId="0"/>
    <cellStyle name="Percent" xfId="5" builtinId="5"/>
  </cellStyles>
  <dxfs count="51">
    <dxf>
      <fill>
        <patternFill>
          <bgColor theme="3" tint="0.79998168889431442"/>
        </patternFill>
      </fill>
    </dxf>
    <dxf>
      <fill>
        <patternFill>
          <bgColor theme="3" tint="0.79998168889431442"/>
        </patternFill>
      </fill>
    </dxf>
    <dxf>
      <font>
        <color rgb="FF00B050"/>
      </font>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ont>
        <color rgb="FFFFFFFF"/>
      </font>
    </dxf>
    <dxf>
      <font>
        <color rgb="FFFFFFFF"/>
      </font>
    </dxf>
    <dxf>
      <font>
        <color rgb="FF00B050"/>
      </font>
      <fill>
        <patternFill>
          <bgColor theme="3" tint="0.79998168889431442"/>
        </patternFill>
      </fill>
    </dxf>
    <dxf>
      <fill>
        <patternFill>
          <bgColor theme="3" tint="0.79998168889431442"/>
        </patternFill>
      </fill>
    </dxf>
    <dxf>
      <font>
        <color rgb="FFFFFFFF"/>
      </font>
    </dxf>
    <dxf>
      <font>
        <color rgb="FFFFFFFF"/>
      </font>
    </dxf>
    <dxf>
      <font>
        <color rgb="FF00B050"/>
      </font>
      <fill>
        <patternFill>
          <bgColor theme="3" tint="0.79998168889431442"/>
        </patternFill>
      </fill>
    </dxf>
    <dxf>
      <fill>
        <patternFill>
          <bgColor theme="3" tint="0.79998168889431442"/>
        </patternFill>
      </fill>
    </dxf>
    <dxf>
      <fill>
        <patternFill>
          <bgColor theme="3" tint="0.79998168889431442"/>
        </patternFill>
      </fill>
    </dxf>
    <dxf>
      <font>
        <color auto="1"/>
      </font>
      <fill>
        <patternFill>
          <bgColor theme="0"/>
        </patternFill>
      </fill>
    </dxf>
    <dxf>
      <font>
        <color rgb="FF00B050"/>
      </font>
      <fill>
        <patternFill>
          <bgColor theme="3" tint="0.79998168889431442"/>
        </patternFill>
      </fill>
    </dxf>
    <dxf>
      <numFmt numFmtId="0" formatCode="General"/>
      <alignment textRotation="0" wrapText="0" indent="0" justifyLastLine="0" shrinkToFit="0" readingOrder="0"/>
    </dxf>
    <dxf>
      <alignment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libri"/>
        <family val="2"/>
        <scheme val="minor"/>
      </font>
      <alignment horizontal="general" vertical="top" textRotation="0" wrapText="0" indent="0" justifyLastLine="0" shrinkToFit="0" readingOrder="0"/>
      <border diagonalUp="0" diagonalDown="0">
        <left style="thin">
          <color indexed="64"/>
        </left>
        <right style="thin">
          <color indexed="64"/>
        </right>
        <top style="medium">
          <color indexed="64"/>
        </top>
        <bottom/>
      </border>
    </dxf>
    <dxf>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000000"/>
        <name val="Calibri"/>
        <family val="2"/>
        <scheme val="none"/>
      </font>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thin">
          <color indexed="64"/>
        </bottom>
      </border>
    </dxf>
    <dxf>
      <border outline="0">
        <top style="thin">
          <color indexed="64"/>
        </top>
      </border>
    </dxf>
    <dxf>
      <alignment textRotation="0" wrapText="0" indent="0" justifyLastLine="0" shrinkToFit="0" readingOrder="0"/>
    </dxf>
    <dxf>
      <alignment textRotation="0" wrapText="0" indent="0" justifyLastLine="0" shrinkToFit="0" readingOrder="0"/>
    </dxf>
    <dxf>
      <font>
        <b/>
        <i val="0"/>
        <strike val="0"/>
        <condense val="0"/>
        <extend val="0"/>
        <outline val="0"/>
        <shadow val="0"/>
        <u val="none"/>
        <vertAlign val="baseline"/>
        <sz val="18"/>
        <color theme="0"/>
        <name val="Calibri"/>
        <family val="2"/>
        <scheme val="none"/>
      </font>
      <fill>
        <patternFill patternType="solid">
          <fgColor indexed="64"/>
          <bgColor theme="8"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1" defaultTableStyle="TableStyleMedium2" defaultPivotStyle="PivotStyleMedium9">
    <tableStyle name="Invisible" pivot="0" table="0" count="0" xr9:uid="{EB8C5F48-B577-4966-8B70-57C2A5ECDA6D}"/>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85725</xdr:colOff>
      <xdr:row>0</xdr:row>
      <xdr:rowOff>95250</xdr:rowOff>
    </xdr:from>
    <xdr:to>
      <xdr:col>1</xdr:col>
      <xdr:colOff>1343025</xdr:colOff>
      <xdr:row>2</xdr:row>
      <xdr:rowOff>38100</xdr:rowOff>
    </xdr:to>
    <xdr:pic>
      <xdr:nvPicPr>
        <xdr:cNvPr id="2" name="Picture 1">
          <a:extLst>
            <a:ext uri="{FF2B5EF4-FFF2-40B4-BE49-F238E27FC236}">
              <a16:creationId xmlns:a16="http://schemas.microsoft.com/office/drawing/2014/main" id="{B6F576A1-AF6B-4112-A6FE-4F2EE0B6AC91}"/>
            </a:ext>
            <a:ext uri="{147F2762-F138-4A5C-976F-8EAC2B608ADB}">
              <a16:predDERef xmlns:a16="http://schemas.microsoft.com/office/drawing/2014/main" pred="{00000000-0008-0000-0600-000005000000}"/>
            </a:ext>
          </a:extLst>
        </xdr:cNvPr>
        <xdr:cNvPicPr>
          <a:picLocks noChangeAspect="1"/>
        </xdr:cNvPicPr>
      </xdr:nvPicPr>
      <xdr:blipFill>
        <a:blip xmlns:r="http://schemas.openxmlformats.org/officeDocument/2006/relationships" r:embed="rId1"/>
        <a:stretch>
          <a:fillRect/>
        </a:stretch>
      </xdr:blipFill>
      <xdr:spPr>
        <a:xfrm>
          <a:off x="85725" y="95250"/>
          <a:ext cx="1504950" cy="3238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85725</xdr:colOff>
      <xdr:row>0</xdr:row>
      <xdr:rowOff>95250</xdr:rowOff>
    </xdr:from>
    <xdr:to>
      <xdr:col>2</xdr:col>
      <xdr:colOff>47625</xdr:colOff>
      <xdr:row>2</xdr:row>
      <xdr:rowOff>38100</xdr:rowOff>
    </xdr:to>
    <xdr:pic>
      <xdr:nvPicPr>
        <xdr:cNvPr id="2" name="Picture 1">
          <a:extLst>
            <a:ext uri="{FF2B5EF4-FFF2-40B4-BE49-F238E27FC236}">
              <a16:creationId xmlns:a16="http://schemas.microsoft.com/office/drawing/2014/main" id="{D130F571-D4F2-42D2-BD70-F3FB37C46F98}"/>
            </a:ext>
            <a:ext uri="{147F2762-F138-4A5C-976F-8EAC2B608ADB}">
              <a16:predDERef xmlns:a16="http://schemas.microsoft.com/office/drawing/2014/main" pred="{00000000-0008-0000-0600-000005000000}"/>
            </a:ext>
          </a:extLst>
        </xdr:cNvPr>
        <xdr:cNvPicPr>
          <a:picLocks noChangeAspect="1"/>
        </xdr:cNvPicPr>
      </xdr:nvPicPr>
      <xdr:blipFill>
        <a:blip xmlns:r="http://schemas.openxmlformats.org/officeDocument/2006/relationships" r:embed="rId1"/>
        <a:stretch>
          <a:fillRect/>
        </a:stretch>
      </xdr:blipFill>
      <xdr:spPr>
        <a:xfrm>
          <a:off x="85725" y="95250"/>
          <a:ext cx="1504950" cy="3238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85725</xdr:colOff>
      <xdr:row>0</xdr:row>
      <xdr:rowOff>95250</xdr:rowOff>
    </xdr:from>
    <xdr:to>
      <xdr:col>1</xdr:col>
      <xdr:colOff>1238250</xdr:colOff>
      <xdr:row>2</xdr:row>
      <xdr:rowOff>38100</xdr:rowOff>
    </xdr:to>
    <xdr:pic>
      <xdr:nvPicPr>
        <xdr:cNvPr id="2" name="Picture 1">
          <a:extLst>
            <a:ext uri="{FF2B5EF4-FFF2-40B4-BE49-F238E27FC236}">
              <a16:creationId xmlns:a16="http://schemas.microsoft.com/office/drawing/2014/main" id="{528CFBA8-1F18-46C7-83FF-4E1F6B243559}"/>
            </a:ext>
            <a:ext uri="{147F2762-F138-4A5C-976F-8EAC2B608ADB}">
              <a16:predDERef xmlns:a16="http://schemas.microsoft.com/office/drawing/2014/main" pred="{00000000-0008-0000-0600-000005000000}"/>
            </a:ext>
          </a:extLst>
        </xdr:cNvPr>
        <xdr:cNvPicPr>
          <a:picLocks noChangeAspect="1"/>
        </xdr:cNvPicPr>
      </xdr:nvPicPr>
      <xdr:blipFill>
        <a:blip xmlns:r="http://schemas.openxmlformats.org/officeDocument/2006/relationships" r:embed="rId1"/>
        <a:stretch>
          <a:fillRect/>
        </a:stretch>
      </xdr:blipFill>
      <xdr:spPr>
        <a:xfrm>
          <a:off x="85725" y="95250"/>
          <a:ext cx="1504950" cy="3238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85725</xdr:colOff>
      <xdr:row>0</xdr:row>
      <xdr:rowOff>95250</xdr:rowOff>
    </xdr:from>
    <xdr:to>
      <xdr:col>1</xdr:col>
      <xdr:colOff>1438275</xdr:colOff>
      <xdr:row>2</xdr:row>
      <xdr:rowOff>38100</xdr:rowOff>
    </xdr:to>
    <xdr:pic>
      <xdr:nvPicPr>
        <xdr:cNvPr id="2" name="Picture 1">
          <a:extLst>
            <a:ext uri="{FF2B5EF4-FFF2-40B4-BE49-F238E27FC236}">
              <a16:creationId xmlns:a16="http://schemas.microsoft.com/office/drawing/2014/main" id="{92F1CA6A-B223-47F0-A69E-0ED19817A3F1}"/>
            </a:ext>
            <a:ext uri="{147F2762-F138-4A5C-976F-8EAC2B608ADB}">
              <a16:predDERef xmlns:a16="http://schemas.microsoft.com/office/drawing/2014/main" pred="{00000000-0008-0000-0600-000005000000}"/>
            </a:ext>
          </a:extLst>
        </xdr:cNvPr>
        <xdr:cNvPicPr>
          <a:picLocks noChangeAspect="1"/>
        </xdr:cNvPicPr>
      </xdr:nvPicPr>
      <xdr:blipFill>
        <a:blip xmlns:r="http://schemas.openxmlformats.org/officeDocument/2006/relationships" r:embed="rId1"/>
        <a:stretch>
          <a:fillRect/>
        </a:stretch>
      </xdr:blipFill>
      <xdr:spPr>
        <a:xfrm>
          <a:off x="85725" y="95250"/>
          <a:ext cx="1504950" cy="3238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85725</xdr:colOff>
      <xdr:row>0</xdr:row>
      <xdr:rowOff>95250</xdr:rowOff>
    </xdr:from>
    <xdr:to>
      <xdr:col>1</xdr:col>
      <xdr:colOff>492125</xdr:colOff>
      <xdr:row>2</xdr:row>
      <xdr:rowOff>57150</xdr:rowOff>
    </xdr:to>
    <xdr:pic>
      <xdr:nvPicPr>
        <xdr:cNvPr id="2" name="Picture 1">
          <a:extLst>
            <a:ext uri="{FF2B5EF4-FFF2-40B4-BE49-F238E27FC236}">
              <a16:creationId xmlns:a16="http://schemas.microsoft.com/office/drawing/2014/main" id="{C93A232C-56FD-453B-B346-AC6B0FF976ED}"/>
            </a:ext>
            <a:ext uri="{147F2762-F138-4A5C-976F-8EAC2B608ADB}">
              <a16:predDERef xmlns:a16="http://schemas.microsoft.com/office/drawing/2014/main" pred="{00000000-0008-0000-0600-000005000000}"/>
            </a:ext>
          </a:extLst>
        </xdr:cNvPr>
        <xdr:cNvPicPr>
          <a:picLocks noChangeAspect="1"/>
        </xdr:cNvPicPr>
      </xdr:nvPicPr>
      <xdr:blipFill>
        <a:blip xmlns:r="http://schemas.openxmlformats.org/officeDocument/2006/relationships" r:embed="rId1"/>
        <a:stretch>
          <a:fillRect/>
        </a:stretch>
      </xdr:blipFill>
      <xdr:spPr>
        <a:xfrm>
          <a:off x="82550" y="95250"/>
          <a:ext cx="1581150" cy="32385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Zamora Moreno, Jose Omar" id="{FB519EBB-FB69-4D1E-BB3C-E51C48408D8D}" userId="S::jzamoramoreno@deloitte.com::acff1a64-ad03-4b66-b03d-2fb89c1074f7"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3FF97-494E-4CDD-958C-8C28C55FDEBB}" name="Table134" displayName="Table134" ref="B8:M47" totalsRowShown="0" headerRowDxfId="34" dataDxfId="33" totalsRowDxfId="32" headerRowBorderDxfId="30" tableBorderDxfId="31">
  <autoFilter ref="B8:M47" xr:uid="{EB63FF97-494E-4CDD-958C-8C28C55FDEBB}"/>
  <tableColumns count="12">
    <tableColumn id="6" xr3:uid="{C192D293-681A-4580-B220-42716A1E9386}" name="Fast" dataDxfId="29"/>
    <tableColumn id="11" xr3:uid="{566504C3-1BD0-4EBC-9AF8-CCFC5B0FBD96}" name="Jr" dataDxfId="28"/>
    <tableColumn id="7" xr3:uid="{70C4E618-19E7-4389-8B19-529D621A7AAC}" name="INT" dataDxfId="27"/>
    <tableColumn id="8" xr3:uid="{212C2859-4CD2-4C1D-87C0-936DEEC41614}" name="SR" dataDxfId="26"/>
    <tableColumn id="9" xr3:uid="{35774DA0-4991-4F57-A2D2-E239ED6954B6}" name="TL" dataDxfId="25"/>
    <tableColumn id="10" xr3:uid="{E00BC321-A7F6-4117-B46E-1A8A059DC9FE}" name="Steps" dataDxfId="24">
      <calculatedColumnFormula>ROW() - 6</calculatedColumnFormula>
    </tableColumn>
    <tableColumn id="1" xr3:uid="{2AB630F0-A3D2-4C03-96CF-E0C45E095543}" name="Topic" dataDxfId="23"/>
    <tableColumn id="2" xr3:uid="{F437FAC1-E8DE-45C7-93F5-157D20589BC6}" name="Name material" dataDxfId="22"/>
    <tableColumn id="3" xr3:uid="{8898C1F6-8789-4409-B268-4D9EE36628C3}" name="Link" dataDxfId="21" dataCellStyle="Hyperlink"/>
    <tableColumn id="4" xr3:uid="{BF09F691-F5B4-4E03-A41B-3E8B915FC4BC}" name="Comments" dataDxfId="20"/>
    <tableColumn id="5" xr3:uid="{F5B8D86F-1CCA-4D4F-A4F7-43D2AE6B5819}" name="Time" dataDxfId="19"/>
    <tableColumn id="12" xr3:uid="{4ADE23FD-AA5C-4E88-8519-D93D60C791CF}" name="Column1" dataDxfId="17" totalsRowDxfId="18">
      <calculatedColumnFormula>_xlfn.CONCAT(Table134[[#This Row],[Topic]], " - ", Table134[[#This Row],[Time]])</calculatedColumnFormula>
    </tableColumn>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5" dT="2023-06-02T18:37:05.34" personId="{FB519EBB-FB69-4D1E-BB3C-E51C48408D8D}" id="{E58F8979-D211-4DF6-83AB-96555B80E823}">
    <text>06/05/23 se cambia para el dia 06/09/23</text>
  </threadedComment>
  <threadedComment ref="N15" dT="2023-06-02T15:47:36.77" personId="{FB519EBB-FB69-4D1E-BB3C-E51C48408D8D}" id="{7C242C81-0A00-4DD1-AFF4-DFA41DAB1653}">
    <text>Se incrementa 5 dias por los challenge
3 challenge</text>
  </threadedComment>
  <threadedComment ref="N15" dT="2023-06-02T23:02:01.57" personId="{FB519EBB-FB69-4D1E-BB3C-E51C48408D8D}" id="{BDE6E11D-B513-4A48-BA83-06DE716EBDEE}" parentId="{7C242C81-0A00-4DD1-AFF4-DFA41DAB1653}">
    <text>PTO 4 dias</text>
  </threadedComment>
  <threadedComment ref="V15" dT="2023-04-27T22:58:06.82" personId="{FB519EBB-FB69-4D1E-BB3C-E51C48408D8D}" id="{B3C00051-9D27-4E08-99F7-E4E09B53CECF}">
    <text xml:space="preserve">Sudoku
</text>
  </threadedComment>
  <threadedComment ref="E16" dT="2023-06-02T17:29:24.99" personId="{FB519EBB-FB69-4D1E-BB3C-E51C48408D8D}" id="{53E05A79-1153-412C-8272-0A35CA257A38}">
    <text>Fecha de movimiento el 04/27/2023</text>
  </threadedComment>
  <threadedComment ref="F16" dT="2023-06-02T18:36:00.45" personId="{FB519EBB-FB69-4D1E-BB3C-E51C48408D8D}" id="{049E76ED-F7AB-42BA-A615-268E5CDD67A1}">
    <text>Se cambio por challenge etc... 
06/09/2023</text>
  </threadedComment>
  <threadedComment ref="N16" dT="2023-06-02T15:47:36.77" personId="{FB519EBB-FB69-4D1E-BB3C-E51C48408D8D}" id="{C7DBA3E5-E6C0-4CCC-9EB9-55F41C52F162}">
    <text>Se incrementa 5 dias por los challenge 2048
3  medio dia de challenge</text>
  </threadedComment>
  <threadedComment ref="N16" dT="2023-06-02T15:58:31.03" personId="{FB519EBB-FB69-4D1E-BB3C-E51C48408D8D}" id="{8A5AFBDA-3E41-43F9-9D14-D9A4F98AA03F}" parentId="{C7DBA3E5-E6C0-4CCC-9EB9-55F41C52F162}">
    <text>2 challenge apoyo</text>
  </threadedComment>
  <threadedComment ref="N16" dT="2023-06-02T15:58:46.27" personId="{FB519EBB-FB69-4D1E-BB3C-E51C48408D8D}" id="{0F680DC9-D9B8-4538-883E-D43EA03A2133}" parentId="{C7DBA3E5-E6C0-4CCC-9EB9-55F41C52F162}">
    <text xml:space="preserve">7 dias python
</text>
  </threadedComment>
  <threadedComment ref="P16" dT="2023-06-02T15:48:32.30" personId="{FB519EBB-FB69-4D1E-BB3C-E51C48408D8D}" id="{66DA12FC-2422-4565-8288-A628EDC3AC9C}">
    <text xml:space="preserve">Incremento por tiempo en Python
</text>
  </threadedComment>
  <threadedComment ref="N17" dT="2023-06-02T15:47:36.77" personId="{FB519EBB-FB69-4D1E-BB3C-E51C48408D8D}" id="{3D20B76E-625E-47C0-A2C0-1DECEDCF496C}">
    <text>Se incrementa 5 dias por los challenge 2048
Challenge medio dia 3</text>
  </threadedComment>
  <threadedComment ref="N17" dT="2023-06-02T18:25:02.30" personId="{FB519EBB-FB69-4D1E-BB3C-E51C48408D8D}" id="{DF4713F1-BEF8-42E9-8CF1-B03F73C186EF}" parentId="{3D20B76E-625E-47C0-A2C0-1DECEDCF496C}">
    <text>Problemas con el equipo 1 dia</text>
  </threadedComment>
  <threadedComment ref="N17" dT="2023-06-02T18:25:42.54" personId="{FB519EBB-FB69-4D1E-BB3C-E51C48408D8D}" id="{E40FE48C-4F0A-43D6-A7B7-2853CCCF6D23}" parentId="{3D20B76E-625E-47C0-A2C0-1DECEDCF496C}">
    <text>Volver a configurar el equipo 1
se realizo cambio hasta el dia jueves 06/08/2023</text>
  </threadedComment>
  <threadedComment ref="N17" dT="2023-06-02T18:25:48.96" personId="{FB519EBB-FB69-4D1E-BB3C-E51C48408D8D}" id="{7DFE2F34-61DE-48F3-8C08-589A598962E2}" parentId="{3D20B76E-625E-47C0-A2C0-1DECEDCF496C}">
    <text>Dias de vacaciones 2</text>
  </threadedComment>
  <threadedComment ref="N17" dT="2023-07-13T16:03:01.59" personId="{FB519EBB-FB69-4D1E-BB3C-E51C48408D8D}" id="{761ABA0A-9D13-44E2-860D-935B8F122204}" parentId="{3D20B76E-625E-47C0-A2C0-1DECEDCF496C}">
    <text xml:space="preserve">Actividades adicionales rountable, dana, generacion de documento , entrevistas 1 dia </text>
  </threadedComment>
  <threadedComment ref="N17" dT="2023-07-13T16:03:32.64" personId="{FB519EBB-FB69-4D1E-BB3C-E51C48408D8D}" id="{1D36ECE7-8F7D-4700-808F-E71AB4093C68}" parentId="{3D20B76E-625E-47C0-A2C0-1DECEDCF496C}">
    <text xml:space="preserve">Dias adicionales por hacer un curso que no aplicaba 3 dias </text>
  </threadedComment>
  <threadedComment ref="F18" dT="2023-06-02T18:38:19.94" personId="{FB519EBB-FB69-4D1E-BB3C-E51C48408D8D}" id="{0F67EF04-6D42-4B95-B2CE-7F1D39673860}">
    <text>06/15/2023 por challenge 
al 07/014/2023</text>
  </threadedComment>
  <threadedComment ref="N18" dT="2023-06-02T15:47:36.77" personId="{FB519EBB-FB69-4D1E-BB3C-E51C48408D8D}" id="{9F27C66B-7470-40A8-8CFB-3FB5CB828258}">
    <text>Se incrementa 5 dias por los challenge</text>
  </threadedComment>
  <threadedComment ref="N18" dT="2023-06-02T16:15:28.70" personId="{FB519EBB-FB69-4D1E-BB3C-E51C48408D8D}" id="{A7336A6B-FB6C-432F-8708-AA7357352A6E}" parentId="{9F27C66B-7470-40A8-8CFB-3FB5CB828258}">
    <text>2 ejercicios cypress/selenium</text>
  </threadedComment>
  <threadedComment ref="N18" dT="2023-06-02T16:16:51.55" personId="{FB519EBB-FB69-4D1E-BB3C-E51C48408D8D}" id="{1B36A860-45C1-42D8-BE51-56E3FE7A2A41}" parentId="{9F27C66B-7470-40A8-8CFB-3FB5CB828258}">
    <text>sudoku 3 dias</text>
  </threadedComment>
  <threadedComment ref="N18" dT="2023-07-13T17:30:25.53" personId="{FB519EBB-FB69-4D1E-BB3C-E51C48408D8D}" id="{47E4046E-4A04-43C7-91CC-DD06EC853EC9}" parentId="{9F27C66B-7470-40A8-8CFB-3FB5CB828258}">
    <text>Se agregan 5 dias adicioanles por el cambio de cursos de Java RX</text>
  </threadedComment>
  <threadedComment ref="N18" dT="2023-07-13T17:32:09.69" personId="{FB519EBB-FB69-4D1E-BB3C-E51C48408D8D}" id="{EA217358-0F07-4187-B859-5017F1F1687B}" parentId="{9F27C66B-7470-40A8-8CFB-3FB5CB828258}">
    <text xml:space="preserve">2 dias por estudiar HTML </text>
  </threadedComment>
  <threadedComment ref="N18" dT="2023-07-13T17:42:58.97" personId="{FB519EBB-FB69-4D1E-BB3C-E51C48408D8D}" id="{5EFF2E83-D30A-4A15-BC29-F392CFE2DC27}" parentId="{9F27C66B-7470-40A8-8CFB-3FB5CB828258}">
    <text>2 dias del curso que no aplicaba Javascript ES6</text>
  </threadedComment>
  <threadedComment ref="N19" dT="2023-06-02T15:47:36.77" personId="{FB519EBB-FB69-4D1E-BB3C-E51C48408D8D}" id="{021077C7-F15E-472C-8CC9-F01ED45ED998}">
    <text>Se incrementa 5 dias por los challenge</text>
  </threadedComment>
  <threadedComment ref="N19" dT="2023-06-02T16:11:52.20" personId="{FB519EBB-FB69-4D1E-BB3C-E51C48408D8D}" id="{60098A33-6F4C-4BBD-957C-CFA6BEA76393}" parentId="{021077C7-F15E-472C-8CC9-F01ED45ED998}">
    <text xml:space="preserve">2 dias sudoku 2048
html 2 dias </text>
  </threadedComment>
  <threadedComment ref="N20" dT="2023-07-13T19:36:56.56" personId="{FB519EBB-FB69-4D1E-BB3C-E51C48408D8D}" id="{9AE6ED85-BF0E-4429-A66C-BC06FCB2DDF4}">
    <text>Se agregan 2 dias de PTO y 1 de investigacion NFC</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s://deloittedevelopment.udemy.com/course/angular-testing-course/" TargetMode="External"/><Relationship Id="rId13" Type="http://schemas.openxmlformats.org/officeDocument/2006/relationships/hyperlink" Target="https://deloittedevelopment.udemy.com/course/the-modern-angular-bootcamp/" TargetMode="External"/><Relationship Id="rId18" Type="http://schemas.openxmlformats.org/officeDocument/2006/relationships/drawing" Target="../drawings/drawing2.xml"/><Relationship Id="rId3" Type="http://schemas.openxmlformats.org/officeDocument/2006/relationships/hyperlink" Target="https://deloittedevelopment.udemy.com/course/angular-full-app-with-angular-material-angularfire-ngrx/" TargetMode="External"/><Relationship Id="rId7" Type="http://schemas.openxmlformats.org/officeDocument/2006/relationships/hyperlink" Target="https://deloittedevelopment.udemy.com/course/introduction-typescript-development/" TargetMode="External"/><Relationship Id="rId12" Type="http://schemas.openxmlformats.org/officeDocument/2006/relationships/hyperlink" Target="https://deloittedevelopment.udemy.com/course/the-complete-guide-to-angular-2/" TargetMode="External"/><Relationship Id="rId17" Type="http://schemas.openxmlformats.org/officeDocument/2006/relationships/printerSettings" Target="../printerSettings/printerSettings1.bin"/><Relationship Id="rId2" Type="http://schemas.openxmlformats.org/officeDocument/2006/relationships/hyperlink" Target="https://deloittedevelopment.udemy.com/course/angular-course/" TargetMode="External"/><Relationship Id="rId16" Type="http://schemas.openxmlformats.org/officeDocument/2006/relationships/hyperlink" Target="https://deloittedevelopment.udemy.com/course/real-world-app-angular-aspnet-core-web-api-and-sql" TargetMode="External"/><Relationship Id="rId1" Type="http://schemas.openxmlformats.org/officeDocument/2006/relationships/hyperlink" Target="https://deloittedevelopment.udemy.com/course/the-complete-guide-to-angular-2/" TargetMode="External"/><Relationship Id="rId6" Type="http://schemas.openxmlformats.org/officeDocument/2006/relationships/hyperlink" Target="https://deloittedevelopment.udemy.com/course/typescript-for-beginners/" TargetMode="External"/><Relationship Id="rId11" Type="http://schemas.openxmlformats.org/officeDocument/2006/relationships/hyperlink" Target="https://deloittedevelopment.udemy.com/course/angular-fernando-herrera/" TargetMode="External"/><Relationship Id="rId5" Type="http://schemas.openxmlformats.org/officeDocument/2006/relationships/hyperlink" Target="https://deloittedevelopment.udemy.com/course/angular-router-course/" TargetMode="External"/><Relationship Id="rId15" Type="http://schemas.openxmlformats.org/officeDocument/2006/relationships/hyperlink" Target="https://deloittedevelopment.udemy.com/course/angular-tutorial/" TargetMode="External"/><Relationship Id="rId10" Type="http://schemas.openxmlformats.org/officeDocument/2006/relationships/hyperlink" Target="https://deloittedevelopment.udemy.com/course/javascript-from-beginner-to-expert-bring-life-to-your-site/" TargetMode="External"/><Relationship Id="rId19" Type="http://schemas.openxmlformats.org/officeDocument/2006/relationships/table" Target="../tables/table1.xml"/><Relationship Id="rId4" Type="http://schemas.openxmlformats.org/officeDocument/2006/relationships/hyperlink" Target="https://deloittedevelopment.udemy.com/course/angular-forms-course/" TargetMode="External"/><Relationship Id="rId9" Type="http://schemas.openxmlformats.org/officeDocument/2006/relationships/hyperlink" Target="https://deloittedevelopment.udemy.com/course/javascript-es6-tutorial/" TargetMode="External"/><Relationship Id="rId14" Type="http://schemas.openxmlformats.org/officeDocument/2006/relationships/hyperlink" Target="../../../../:w:/r/sites/Java312-Angular-Academy/Shared%20Documents/Angular-Academy/Final%20Project/Final-Project-Angular.docx?d=w3166e797283a436d93f3cdbb40f6d07f&amp;csf=1&amp;web=1&amp;e=3eLsJA"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A24A5-B3D8-42BE-9C65-8172E144FC1E}">
  <dimension ref="A1:E29"/>
  <sheetViews>
    <sheetView showGridLines="0" workbookViewId="0">
      <selection activeCell="A11" sqref="A11:E12"/>
    </sheetView>
  </sheetViews>
  <sheetFormatPr defaultRowHeight="14.45"/>
  <cols>
    <col min="1" max="1" width="3.7109375" customWidth="1"/>
    <col min="2" max="2" width="30.28515625" bestFit="1" customWidth="1"/>
  </cols>
  <sheetData>
    <row r="1" spans="1:5" s="146" customFormat="1" ht="15" customHeight="1"/>
    <row r="2" spans="1:5" s="146" customFormat="1" ht="15" customHeight="1"/>
    <row r="3" spans="1:5" s="146" customFormat="1" ht="15" customHeight="1"/>
    <row r="4" spans="1:5">
      <c r="A4" s="33"/>
      <c r="B4" s="33"/>
      <c r="C4" s="33"/>
      <c r="D4" s="33"/>
      <c r="E4" s="33"/>
    </row>
    <row r="5" spans="1:5" ht="14.65" customHeight="1">
      <c r="A5" s="73" t="s">
        <v>0</v>
      </c>
      <c r="B5" s="163" t="s">
        <v>1</v>
      </c>
      <c r="C5" s="164"/>
      <c r="D5" s="164"/>
      <c r="E5" s="165"/>
    </row>
    <row r="6" spans="1:5">
      <c r="A6" s="74" t="s">
        <v>0</v>
      </c>
      <c r="B6" s="189" t="s">
        <v>2</v>
      </c>
      <c r="C6" s="190"/>
      <c r="D6" s="190"/>
      <c r="E6" s="191"/>
    </row>
    <row r="7" spans="1:5">
      <c r="A7" s="75" t="s">
        <v>0</v>
      </c>
      <c r="B7" s="189" t="s">
        <v>3</v>
      </c>
      <c r="C7" s="190"/>
      <c r="D7" s="190"/>
      <c r="E7" s="191"/>
    </row>
    <row r="8" spans="1:5">
      <c r="A8" s="76" t="s">
        <v>0</v>
      </c>
      <c r="B8" s="189" t="s">
        <v>4</v>
      </c>
      <c r="C8" s="190"/>
      <c r="D8" s="190"/>
      <c r="E8" s="191"/>
    </row>
    <row r="9" spans="1:5">
      <c r="A9" s="77" t="s">
        <v>0</v>
      </c>
      <c r="B9" s="189" t="s">
        <v>5</v>
      </c>
      <c r="C9" s="190"/>
      <c r="D9" s="190"/>
      <c r="E9" s="191"/>
    </row>
    <row r="10" spans="1:5">
      <c r="A10" s="33"/>
      <c r="B10" s="33"/>
      <c r="C10" s="33"/>
      <c r="D10" s="33"/>
      <c r="E10" s="33"/>
    </row>
    <row r="11" spans="1:5" ht="14.65" customHeight="1">
      <c r="A11" s="36" t="s">
        <v>6</v>
      </c>
      <c r="B11" s="190" t="s">
        <v>7</v>
      </c>
      <c r="C11" s="190"/>
      <c r="D11" s="190"/>
      <c r="E11" s="191"/>
    </row>
    <row r="12" spans="1:5">
      <c r="A12" s="78" t="s">
        <v>8</v>
      </c>
      <c r="B12" s="190" t="s">
        <v>9</v>
      </c>
      <c r="C12" s="190"/>
      <c r="D12" s="190"/>
      <c r="E12" s="191"/>
    </row>
    <row r="13" spans="1:5">
      <c r="A13" s="33"/>
      <c r="B13" s="33"/>
      <c r="C13" s="33"/>
      <c r="D13" s="33"/>
      <c r="E13" s="33"/>
    </row>
    <row r="14" spans="1:5">
      <c r="A14" s="33"/>
      <c r="B14" s="33"/>
      <c r="C14" s="33"/>
      <c r="D14" s="33"/>
      <c r="E14" s="33"/>
    </row>
    <row r="15" spans="1:5">
      <c r="A15" s="33"/>
      <c r="B15" s="33"/>
      <c r="C15" s="33"/>
      <c r="D15" s="33"/>
      <c r="E15" s="33"/>
    </row>
    <row r="16" spans="1:5">
      <c r="A16" s="33"/>
      <c r="B16" s="33" t="s">
        <v>10</v>
      </c>
      <c r="C16" s="33"/>
      <c r="D16" s="33"/>
      <c r="E16" s="33"/>
    </row>
    <row r="17" spans="1:5">
      <c r="A17" s="33"/>
      <c r="B17" s="33"/>
      <c r="C17" s="33" t="s">
        <v>11</v>
      </c>
      <c r="D17" s="33"/>
      <c r="E17" s="33"/>
    </row>
    <row r="18" spans="1:5">
      <c r="A18" s="33"/>
      <c r="B18" s="33"/>
      <c r="C18" s="33"/>
      <c r="D18" s="33" t="s">
        <v>12</v>
      </c>
      <c r="E18" s="33"/>
    </row>
    <row r="19" spans="1:5">
      <c r="A19" s="33"/>
      <c r="B19" s="33"/>
      <c r="C19" s="33"/>
      <c r="D19" s="33" t="s">
        <v>13</v>
      </c>
      <c r="E19" s="33"/>
    </row>
    <row r="20" spans="1:5">
      <c r="A20" s="33"/>
      <c r="B20" s="33"/>
      <c r="C20" s="33"/>
      <c r="D20" s="33" t="s">
        <v>14</v>
      </c>
      <c r="E20" s="33"/>
    </row>
    <row r="21" spans="1:5">
      <c r="A21" s="33"/>
      <c r="B21" s="33"/>
      <c r="C21" s="33" t="s">
        <v>15</v>
      </c>
      <c r="D21" s="33"/>
      <c r="E21" s="33"/>
    </row>
    <row r="22" spans="1:5">
      <c r="A22" s="33"/>
      <c r="B22" s="33"/>
      <c r="C22" s="33"/>
      <c r="D22" s="33" t="s">
        <v>16</v>
      </c>
      <c r="E22" s="33"/>
    </row>
    <row r="23" spans="1:5">
      <c r="A23" s="33"/>
      <c r="B23" s="33"/>
      <c r="C23" s="33"/>
      <c r="D23" s="33" t="s">
        <v>17</v>
      </c>
      <c r="E23" s="33"/>
    </row>
    <row r="24" spans="1:5">
      <c r="A24" s="33"/>
      <c r="B24" s="33"/>
      <c r="C24" s="33"/>
      <c r="D24" s="33" t="s">
        <v>18</v>
      </c>
      <c r="E24" s="33"/>
    </row>
    <row r="25" spans="1:5">
      <c r="A25" s="33"/>
      <c r="B25" s="33"/>
      <c r="C25" s="33"/>
      <c r="D25" s="33" t="s">
        <v>19</v>
      </c>
      <c r="E25" s="33"/>
    </row>
    <row r="26" spans="1:5">
      <c r="A26" s="33"/>
      <c r="B26" s="33"/>
      <c r="C26" s="33"/>
      <c r="D26" s="33" t="s">
        <v>20</v>
      </c>
      <c r="E26" s="33"/>
    </row>
    <row r="27" spans="1:5">
      <c r="A27" s="33"/>
      <c r="B27" s="33"/>
      <c r="C27" s="33" t="s">
        <v>21</v>
      </c>
      <c r="D27" s="33"/>
      <c r="E27" s="33"/>
    </row>
    <row r="28" spans="1:5">
      <c r="A28" s="33"/>
      <c r="B28" s="33"/>
      <c r="C28" s="33"/>
      <c r="D28" s="33" t="s">
        <v>22</v>
      </c>
      <c r="E28" s="33"/>
    </row>
    <row r="29" spans="1:5">
      <c r="A29" s="33"/>
      <c r="B29" s="33"/>
      <c r="C29" s="33"/>
      <c r="D29" s="33" t="s">
        <v>23</v>
      </c>
      <c r="E29" s="33"/>
    </row>
  </sheetData>
  <mergeCells count="7">
    <mergeCell ref="B12:E12"/>
    <mergeCell ref="B5:E5"/>
    <mergeCell ref="B6:E6"/>
    <mergeCell ref="B7:E7"/>
    <mergeCell ref="B8:E8"/>
    <mergeCell ref="B9:E9"/>
    <mergeCell ref="B11:E1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0502C-05B5-40E2-BE2E-F6B0458134D5}">
  <sheetPr codeName="Sheet2"/>
  <dimension ref="A1:CK47"/>
  <sheetViews>
    <sheetView showGridLines="0" zoomScale="85" zoomScaleNormal="85" workbookViewId="0">
      <selection activeCell="C10" sqref="C10"/>
    </sheetView>
  </sheetViews>
  <sheetFormatPr defaultRowHeight="15" customHeight="1"/>
  <cols>
    <col min="1" max="1" width="11.5703125" bestFit="1" customWidth="1"/>
    <col min="2" max="6" width="11.5703125" style="8" customWidth="1"/>
    <col min="7" max="7" width="13.28515625" style="8" bestFit="1" customWidth="1"/>
    <col min="8" max="8" width="25.7109375" customWidth="1"/>
    <col min="9" max="9" width="66" customWidth="1"/>
    <col min="10" max="10" width="98.28515625" bestFit="1" customWidth="1"/>
    <col min="11" max="11" width="41.5703125" style="149" customWidth="1"/>
    <col min="12" max="12" width="12.42578125" bestFit="1" customWidth="1"/>
    <col min="13" max="13" width="27" bestFit="1" customWidth="1"/>
    <col min="14" max="14" width="55" bestFit="1" customWidth="1"/>
  </cols>
  <sheetData>
    <row r="1" spans="1:84" s="146" customFormat="1" ht="15" customHeight="1">
      <c r="K1" s="148"/>
    </row>
    <row r="2" spans="1:84" s="146" customFormat="1" ht="15" customHeight="1">
      <c r="K2" s="148"/>
    </row>
    <row r="3" spans="1:84" s="146" customFormat="1" ht="15" customHeight="1">
      <c r="K3" s="148"/>
    </row>
    <row r="4" spans="1:84" ht="15" customHeight="1">
      <c r="A4" s="128" t="s">
        <v>24</v>
      </c>
      <c r="B4" s="129">
        <f>B5*0.23</f>
        <v>2.0585</v>
      </c>
      <c r="C4" s="129">
        <f t="shared" ref="C4:F4" si="0">C5*0.23</f>
        <v>1.9205000000000001</v>
      </c>
      <c r="D4" s="129">
        <f t="shared" si="0"/>
        <v>1.84</v>
      </c>
      <c r="E4" s="129">
        <f t="shared" si="0"/>
        <v>1.7307500000000002</v>
      </c>
      <c r="F4" s="129">
        <f t="shared" si="0"/>
        <v>1.6847500000000002</v>
      </c>
    </row>
    <row r="5" spans="1:84" ht="14.65" customHeight="1">
      <c r="A5" s="128" t="s">
        <v>25</v>
      </c>
      <c r="B5" s="129">
        <f>B6/5</f>
        <v>8.9499999999999993</v>
      </c>
      <c r="C5" s="129">
        <f t="shared" ref="C5:F5" si="1">C6/5</f>
        <v>8.35</v>
      </c>
      <c r="D5" s="129">
        <f t="shared" si="1"/>
        <v>8</v>
      </c>
      <c r="E5" s="129">
        <f t="shared" si="1"/>
        <v>7.5250000000000004</v>
      </c>
      <c r="F5" s="129">
        <f t="shared" si="1"/>
        <v>7.3250000000000002</v>
      </c>
      <c r="H5" s="166" t="s">
        <v>26</v>
      </c>
      <c r="I5" s="166"/>
    </row>
    <row r="6" spans="1:84" ht="14.65" customHeight="1">
      <c r="A6" s="128" t="s">
        <v>27</v>
      </c>
      <c r="B6" s="129">
        <f>B7/8</f>
        <v>44.75</v>
      </c>
      <c r="C6" s="129">
        <f t="shared" ref="C6:F6" si="2">C7/8</f>
        <v>41.75</v>
      </c>
      <c r="D6" s="129">
        <f t="shared" si="2"/>
        <v>40</v>
      </c>
      <c r="E6" s="129">
        <f t="shared" si="2"/>
        <v>37.625</v>
      </c>
      <c r="F6" s="129">
        <f t="shared" si="2"/>
        <v>36.625</v>
      </c>
      <c r="H6" s="166"/>
      <c r="I6" s="166"/>
    </row>
    <row r="7" spans="1:84" ht="18">
      <c r="A7" s="128" t="s">
        <v>28</v>
      </c>
      <c r="B7" s="129" cm="1">
        <f t="array" ref="B7">SUM(IF(B10:B48="x",$L$10:$L$48,0))</f>
        <v>358</v>
      </c>
      <c r="C7" s="129" cm="1">
        <f t="array" ref="C7">SUM(IF(C10:C48="x",$L$10:$L$48,0))</f>
        <v>334</v>
      </c>
      <c r="D7" s="129" cm="1">
        <f t="array" ref="D7">SUM(IF(D10:D48="x",$L$10:$L$48,0))</f>
        <v>320</v>
      </c>
      <c r="E7" s="129" cm="1">
        <f t="array" ref="E7">SUM(IF(E10:E48="x",$L$10:$L$48,0))</f>
        <v>301</v>
      </c>
      <c r="F7" s="129" cm="1">
        <f t="array" ref="F7">SUM(IF(F10:F48="x",$L$10:$L$48,0))</f>
        <v>293</v>
      </c>
    </row>
    <row r="8" spans="1:84" ht="23.45">
      <c r="B8" s="24" t="s">
        <v>29</v>
      </c>
      <c r="C8" s="24" t="s">
        <v>30</v>
      </c>
      <c r="D8" s="24" t="s">
        <v>31</v>
      </c>
      <c r="E8" s="24" t="s">
        <v>32</v>
      </c>
      <c r="F8" s="24" t="s">
        <v>33</v>
      </c>
      <c r="G8" s="24" t="s">
        <v>34</v>
      </c>
      <c r="H8" s="24" t="s">
        <v>35</v>
      </c>
      <c r="I8" s="24" t="s">
        <v>36</v>
      </c>
      <c r="J8" s="24" t="s">
        <v>37</v>
      </c>
      <c r="K8" s="150" t="s">
        <v>38</v>
      </c>
      <c r="L8" s="24" t="s">
        <v>39</v>
      </c>
      <c r="M8" s="124" t="s">
        <v>40</v>
      </c>
      <c r="N8" t="s">
        <v>41</v>
      </c>
      <c r="O8" t="s">
        <v>42</v>
      </c>
      <c r="P8" t="s">
        <v>43</v>
      </c>
      <c r="Q8" t="s">
        <v>44</v>
      </c>
      <c r="R8" t="s">
        <v>45</v>
      </c>
      <c r="S8" t="s">
        <v>46</v>
      </c>
      <c r="T8" t="s">
        <v>47</v>
      </c>
      <c r="U8" t="s">
        <v>48</v>
      </c>
      <c r="V8" t="s">
        <v>49</v>
      </c>
    </row>
    <row r="9" spans="1:84" ht="23.45">
      <c r="A9" s="83" t="s">
        <v>50</v>
      </c>
      <c r="B9" s="79"/>
      <c r="C9" s="79"/>
      <c r="D9" s="79"/>
      <c r="E9" s="79"/>
      <c r="F9" s="79"/>
      <c r="G9" s="79">
        <f t="shared" ref="G9:G26" si="3">ROW() - 6</f>
        <v>3</v>
      </c>
      <c r="H9" s="24"/>
      <c r="I9" s="80"/>
      <c r="J9" s="81"/>
      <c r="K9" s="151"/>
      <c r="L9" s="82"/>
      <c r="M9" t="str">
        <f>_xlfn.CONCAT(Table134[[#This Row],[Topic]], " - ", Table134[[#This Row],[Time]])</f>
        <v xml:space="preserve"> - </v>
      </c>
    </row>
    <row r="10" spans="1:84" ht="43.15">
      <c r="A10" s="42"/>
      <c r="B10" s="42" t="s">
        <v>51</v>
      </c>
      <c r="C10" s="42" t="s">
        <v>51</v>
      </c>
      <c r="D10" s="42" t="s">
        <v>51</v>
      </c>
      <c r="E10" s="42"/>
      <c r="F10" s="42"/>
      <c r="G10" s="42">
        <f t="shared" si="3"/>
        <v>4</v>
      </c>
      <c r="H10" s="43" t="s">
        <v>52</v>
      </c>
      <c r="I10" s="61" t="s">
        <v>53</v>
      </c>
      <c r="J10" s="114" t="s">
        <v>54</v>
      </c>
      <c r="K10" s="113" t="s">
        <v>55</v>
      </c>
      <c r="L10" s="117">
        <v>20</v>
      </c>
      <c r="M10" t="str">
        <f>_xlfn.CONCAT(Table134[[#This Row],[Topic]], " - ", Table134[[#This Row],[Time]])</f>
        <v>Javascript-Arrays - 20</v>
      </c>
      <c r="N10" t="s">
        <v>56</v>
      </c>
      <c r="O10" t="s">
        <v>57</v>
      </c>
      <c r="P10" t="s">
        <v>58</v>
      </c>
      <c r="Q10" t="s">
        <v>59</v>
      </c>
      <c r="R10" t="s">
        <v>60</v>
      </c>
      <c r="S10" t="s">
        <v>61</v>
      </c>
      <c r="T10" t="s">
        <v>62</v>
      </c>
      <c r="U10" t="s">
        <v>63</v>
      </c>
      <c r="V10" t="s">
        <v>64</v>
      </c>
      <c r="W10" t="s">
        <v>65</v>
      </c>
      <c r="X10" t="s">
        <v>66</v>
      </c>
      <c r="Y10" t="s">
        <v>67</v>
      </c>
      <c r="Z10" t="s">
        <v>68</v>
      </c>
      <c r="AA10" t="s">
        <v>69</v>
      </c>
      <c r="AB10" t="s">
        <v>70</v>
      </c>
      <c r="AC10" t="s">
        <v>71</v>
      </c>
      <c r="AD10" t="s">
        <v>72</v>
      </c>
      <c r="AE10" t="s">
        <v>73</v>
      </c>
      <c r="AF10" t="s">
        <v>74</v>
      </c>
      <c r="AG10" t="s">
        <v>75</v>
      </c>
      <c r="AH10" t="s">
        <v>76</v>
      </c>
      <c r="AI10" t="s">
        <v>77</v>
      </c>
      <c r="AJ10" t="s">
        <v>78</v>
      </c>
      <c r="AK10" t="s">
        <v>79</v>
      </c>
      <c r="AL10" t="s">
        <v>80</v>
      </c>
      <c r="AM10" t="s">
        <v>81</v>
      </c>
      <c r="AN10" t="s">
        <v>82</v>
      </c>
      <c r="AO10" t="s">
        <v>83</v>
      </c>
      <c r="AP10" t="s">
        <v>84</v>
      </c>
      <c r="AQ10" t="s">
        <v>85</v>
      </c>
      <c r="AR10" t="s">
        <v>86</v>
      </c>
      <c r="AS10" t="s">
        <v>87</v>
      </c>
      <c r="AT10" t="s">
        <v>88</v>
      </c>
      <c r="AU10" t="s">
        <v>89</v>
      </c>
      <c r="AV10" t="s">
        <v>90</v>
      </c>
      <c r="AW10" t="s">
        <v>91</v>
      </c>
      <c r="AX10" t="s">
        <v>92</v>
      </c>
      <c r="AY10" t="s">
        <v>93</v>
      </c>
      <c r="AZ10" t="s">
        <v>94</v>
      </c>
      <c r="BA10" t="s">
        <v>95</v>
      </c>
      <c r="BB10" t="s">
        <v>96</v>
      </c>
      <c r="BC10" t="s">
        <v>97</v>
      </c>
      <c r="BD10" t="s">
        <v>98</v>
      </c>
      <c r="BE10" t="s">
        <v>99</v>
      </c>
      <c r="BF10" t="s">
        <v>100</v>
      </c>
      <c r="BG10" t="s">
        <v>101</v>
      </c>
      <c r="BH10" t="s">
        <v>102</v>
      </c>
      <c r="BI10" t="s">
        <v>103</v>
      </c>
      <c r="BJ10" t="s">
        <v>104</v>
      </c>
      <c r="BK10" t="s">
        <v>105</v>
      </c>
      <c r="BL10" t="s">
        <v>106</v>
      </c>
      <c r="BM10" t="s">
        <v>107</v>
      </c>
      <c r="BN10" t="s">
        <v>108</v>
      </c>
      <c r="BO10" t="s">
        <v>109</v>
      </c>
      <c r="BP10" t="s">
        <v>110</v>
      </c>
      <c r="BQ10" t="s">
        <v>111</v>
      </c>
      <c r="BR10" t="s">
        <v>112</v>
      </c>
      <c r="BS10" t="s">
        <v>113</v>
      </c>
      <c r="BT10" t="s">
        <v>114</v>
      </c>
      <c r="BU10" t="s">
        <v>115</v>
      </c>
      <c r="BV10" t="s">
        <v>116</v>
      </c>
      <c r="BW10" t="s">
        <v>117</v>
      </c>
      <c r="BX10" t="s">
        <v>118</v>
      </c>
      <c r="BY10" t="s">
        <v>119</v>
      </c>
      <c r="BZ10" t="s">
        <v>120</v>
      </c>
      <c r="CA10" t="s">
        <v>121</v>
      </c>
      <c r="CF10" s="42" t="s">
        <v>51</v>
      </c>
    </row>
    <row r="11" spans="1:84" ht="43.15">
      <c r="A11" s="44"/>
      <c r="B11" s="44" t="s">
        <v>51</v>
      </c>
      <c r="C11" s="44"/>
      <c r="D11" s="44"/>
      <c r="E11" s="44" t="s">
        <v>51</v>
      </c>
      <c r="F11" s="44" t="s">
        <v>51</v>
      </c>
      <c r="G11" s="44">
        <f t="shared" si="3"/>
        <v>5</v>
      </c>
      <c r="H11" s="41" t="s">
        <v>122</v>
      </c>
      <c r="I11" s="58" t="s">
        <v>123</v>
      </c>
      <c r="J11" s="115" t="s">
        <v>124</v>
      </c>
      <c r="K11" s="113" t="s">
        <v>55</v>
      </c>
      <c r="L11" s="118">
        <v>10</v>
      </c>
      <c r="M11" t="str">
        <f>_xlfn.CONCAT(Table134[[#This Row],[Topic]], " - ", Table134[[#This Row],[Time]])</f>
        <v>Javascript ES6 - 10</v>
      </c>
      <c r="N11" t="s">
        <v>125</v>
      </c>
      <c r="O11" t="s">
        <v>126</v>
      </c>
      <c r="P11" t="s">
        <v>58</v>
      </c>
      <c r="Q11" t="s">
        <v>127</v>
      </c>
      <c r="R11" t="s">
        <v>128</v>
      </c>
      <c r="S11" t="s">
        <v>61</v>
      </c>
      <c r="T11" t="s">
        <v>129</v>
      </c>
      <c r="U11" t="s">
        <v>130</v>
      </c>
      <c r="V11" t="s">
        <v>131</v>
      </c>
      <c r="W11" t="s">
        <v>132</v>
      </c>
      <c r="X11" t="s">
        <v>133</v>
      </c>
      <c r="Y11" t="s">
        <v>134</v>
      </c>
      <c r="Z11" t="s">
        <v>135</v>
      </c>
      <c r="AA11" t="s">
        <v>136</v>
      </c>
      <c r="AB11" t="s">
        <v>137</v>
      </c>
      <c r="AC11" t="s">
        <v>138</v>
      </c>
      <c r="AD11" t="s">
        <v>139</v>
      </c>
      <c r="AE11" t="s">
        <v>140</v>
      </c>
      <c r="AF11" t="s">
        <v>141</v>
      </c>
      <c r="AG11" t="s">
        <v>142</v>
      </c>
      <c r="AH11" t="s">
        <v>143</v>
      </c>
      <c r="AI11" t="s">
        <v>144</v>
      </c>
      <c r="AJ11" t="s">
        <v>145</v>
      </c>
      <c r="AK11" t="s">
        <v>146</v>
      </c>
      <c r="AL11" t="s">
        <v>147</v>
      </c>
      <c r="AM11" t="s">
        <v>148</v>
      </c>
      <c r="AN11" t="s">
        <v>149</v>
      </c>
      <c r="AO11" t="s">
        <v>150</v>
      </c>
      <c r="AP11" t="s">
        <v>151</v>
      </c>
      <c r="AQ11" t="s">
        <v>152</v>
      </c>
      <c r="AR11" t="s">
        <v>153</v>
      </c>
      <c r="AS11" t="s">
        <v>154</v>
      </c>
      <c r="AT11" t="s">
        <v>155</v>
      </c>
      <c r="AU11" t="s">
        <v>156</v>
      </c>
      <c r="AV11" t="s">
        <v>157</v>
      </c>
      <c r="AW11" t="s">
        <v>158</v>
      </c>
      <c r="AX11" t="s">
        <v>159</v>
      </c>
      <c r="AY11" t="s">
        <v>160</v>
      </c>
      <c r="AZ11" t="s">
        <v>161</v>
      </c>
      <c r="BA11" t="s">
        <v>162</v>
      </c>
      <c r="BB11" t="s">
        <v>163</v>
      </c>
      <c r="BC11" t="s">
        <v>164</v>
      </c>
      <c r="BD11" t="s">
        <v>165</v>
      </c>
      <c r="BE11" t="s">
        <v>166</v>
      </c>
      <c r="CF11" s="44" t="s">
        <v>51</v>
      </c>
    </row>
    <row r="12" spans="1:84" ht="43.15">
      <c r="A12" s="125" t="s">
        <v>51</v>
      </c>
      <c r="B12" s="42" t="s">
        <v>51</v>
      </c>
      <c r="C12" s="42" t="s">
        <v>51</v>
      </c>
      <c r="D12" s="42" t="s">
        <v>51</v>
      </c>
      <c r="E12" s="42"/>
      <c r="F12" s="42"/>
      <c r="G12" s="42">
        <f t="shared" si="3"/>
        <v>6</v>
      </c>
      <c r="H12" s="43" t="s">
        <v>167</v>
      </c>
      <c r="I12" s="59" t="s">
        <v>168</v>
      </c>
      <c r="J12" s="116" t="s">
        <v>169</v>
      </c>
      <c r="K12" s="113" t="s">
        <v>55</v>
      </c>
      <c r="L12" s="117">
        <v>10</v>
      </c>
      <c r="M12" t="str">
        <f>_xlfn.CONCAT(Table134[[#This Row],[Topic]], " - ", Table134[[#This Row],[Time]])</f>
        <v>Typescript - 10</v>
      </c>
      <c r="N12" t="s">
        <v>170</v>
      </c>
      <c r="O12" t="s">
        <v>171</v>
      </c>
      <c r="P12" t="s">
        <v>58</v>
      </c>
      <c r="Q12" t="s">
        <v>172</v>
      </c>
      <c r="R12" t="s">
        <v>173</v>
      </c>
      <c r="S12" t="s">
        <v>174</v>
      </c>
      <c r="T12" t="s">
        <v>175</v>
      </c>
      <c r="U12" t="s">
        <v>176</v>
      </c>
      <c r="V12" t="s">
        <v>64</v>
      </c>
      <c r="W12" t="s">
        <v>177</v>
      </c>
      <c r="X12" t="s">
        <v>178</v>
      </c>
      <c r="Y12" t="s">
        <v>179</v>
      </c>
      <c r="Z12" t="s">
        <v>72</v>
      </c>
      <c r="AA12" t="s">
        <v>180</v>
      </c>
      <c r="AB12" t="s">
        <v>181</v>
      </c>
      <c r="AC12" t="s">
        <v>182</v>
      </c>
      <c r="AD12" t="s">
        <v>183</v>
      </c>
      <c r="AE12" t="s">
        <v>184</v>
      </c>
      <c r="AF12" t="s">
        <v>76</v>
      </c>
      <c r="AG12" t="s">
        <v>185</v>
      </c>
      <c r="AH12" t="s">
        <v>149</v>
      </c>
      <c r="AI12" t="s">
        <v>186</v>
      </c>
      <c r="AJ12" t="s">
        <v>187</v>
      </c>
      <c r="AK12" t="s">
        <v>188</v>
      </c>
      <c r="AL12" t="s">
        <v>189</v>
      </c>
      <c r="AM12" t="s">
        <v>190</v>
      </c>
      <c r="AN12" t="s">
        <v>159</v>
      </c>
      <c r="AO12" t="s">
        <v>191</v>
      </c>
      <c r="AP12" t="s">
        <v>192</v>
      </c>
      <c r="AQ12" t="s">
        <v>193</v>
      </c>
      <c r="AR12" t="s">
        <v>194</v>
      </c>
      <c r="AS12" t="s">
        <v>195</v>
      </c>
      <c r="AT12" t="s">
        <v>196</v>
      </c>
      <c r="AU12" t="s">
        <v>197</v>
      </c>
      <c r="AV12" t="s">
        <v>198</v>
      </c>
      <c r="AW12" t="s">
        <v>199</v>
      </c>
      <c r="AX12" t="s">
        <v>200</v>
      </c>
      <c r="AY12" t="s">
        <v>201</v>
      </c>
      <c r="AZ12" t="s">
        <v>202</v>
      </c>
      <c r="BA12" t="s">
        <v>203</v>
      </c>
      <c r="BB12" t="s">
        <v>204</v>
      </c>
      <c r="BC12" t="s">
        <v>205</v>
      </c>
      <c r="BD12" t="s">
        <v>206</v>
      </c>
      <c r="BE12" t="s">
        <v>207</v>
      </c>
      <c r="CF12" s="42" t="s">
        <v>51</v>
      </c>
    </row>
    <row r="13" spans="1:84" ht="43.15">
      <c r="A13" s="44"/>
      <c r="B13" s="44" t="s">
        <v>51</v>
      </c>
      <c r="C13" s="44"/>
      <c r="D13" s="44"/>
      <c r="E13" s="44" t="s">
        <v>51</v>
      </c>
      <c r="F13" s="44" t="s">
        <v>51</v>
      </c>
      <c r="G13" s="44">
        <f t="shared" si="3"/>
        <v>7</v>
      </c>
      <c r="H13" s="41" t="s">
        <v>208</v>
      </c>
      <c r="I13" s="58" t="s">
        <v>209</v>
      </c>
      <c r="J13" s="115" t="s">
        <v>210</v>
      </c>
      <c r="K13" s="113" t="s">
        <v>55</v>
      </c>
      <c r="L13" s="118">
        <v>14</v>
      </c>
      <c r="M13" t="str">
        <f>_xlfn.CONCAT(Table134[[#This Row],[Topic]], " - ", Table134[[#This Row],[Time]])</f>
        <v>Typescript-Development - 14</v>
      </c>
      <c r="N13" t="s">
        <v>211</v>
      </c>
      <c r="O13" t="s">
        <v>212</v>
      </c>
      <c r="P13" t="s">
        <v>58</v>
      </c>
      <c r="Q13" t="s">
        <v>213</v>
      </c>
      <c r="R13" t="s">
        <v>214</v>
      </c>
      <c r="S13" t="s">
        <v>215</v>
      </c>
      <c r="T13" t="s">
        <v>216</v>
      </c>
      <c r="U13" t="s">
        <v>217</v>
      </c>
      <c r="V13" t="s">
        <v>218</v>
      </c>
      <c r="W13" t="s">
        <v>219</v>
      </c>
      <c r="X13" t="s">
        <v>220</v>
      </c>
      <c r="Y13" t="s">
        <v>221</v>
      </c>
      <c r="Z13" t="s">
        <v>222</v>
      </c>
      <c r="AA13" t="s">
        <v>223</v>
      </c>
      <c r="AB13" t="s">
        <v>224</v>
      </c>
      <c r="AC13" t="s">
        <v>225</v>
      </c>
      <c r="AD13" t="s">
        <v>226</v>
      </c>
      <c r="AE13" t="s">
        <v>227</v>
      </c>
      <c r="AF13" t="s">
        <v>228</v>
      </c>
      <c r="AG13" t="s">
        <v>229</v>
      </c>
      <c r="AH13" t="s">
        <v>230</v>
      </c>
      <c r="AI13" t="s">
        <v>231</v>
      </c>
      <c r="AJ13" t="s">
        <v>232</v>
      </c>
      <c r="AK13" t="s">
        <v>233</v>
      </c>
      <c r="CF13" s="44" t="s">
        <v>51</v>
      </c>
    </row>
    <row r="14" spans="1:84" ht="43.15">
      <c r="A14" s="42" t="s">
        <v>51</v>
      </c>
      <c r="B14" s="42" t="s">
        <v>51</v>
      </c>
      <c r="C14" s="42" t="s">
        <v>51</v>
      </c>
      <c r="D14" s="42"/>
      <c r="E14" s="42"/>
      <c r="F14" s="42"/>
      <c r="G14" s="42">
        <f t="shared" si="3"/>
        <v>8</v>
      </c>
      <c r="H14" s="43" t="s">
        <v>234</v>
      </c>
      <c r="I14" s="144" t="s">
        <v>235</v>
      </c>
      <c r="J14" s="116" t="s">
        <v>236</v>
      </c>
      <c r="K14" s="113" t="s">
        <v>55</v>
      </c>
      <c r="L14" s="117">
        <v>14</v>
      </c>
      <c r="M14" t="str">
        <f>_xlfn.CONCAT(Table134[[#This Row],[Topic]], " - ", Table134[[#This Row],[Time]])</f>
        <v>Angular-Basic - 14</v>
      </c>
      <c r="N14" t="s">
        <v>237</v>
      </c>
      <c r="O14" t="s">
        <v>238</v>
      </c>
      <c r="P14" t="s">
        <v>239</v>
      </c>
      <c r="Q14" t="s">
        <v>240</v>
      </c>
      <c r="R14" t="s">
        <v>241</v>
      </c>
      <c r="S14" t="s">
        <v>242</v>
      </c>
      <c r="T14" t="s">
        <v>243</v>
      </c>
      <c r="U14" t="s">
        <v>244</v>
      </c>
      <c r="V14" t="s">
        <v>245</v>
      </c>
      <c r="W14" t="s">
        <v>246</v>
      </c>
      <c r="X14" t="s">
        <v>247</v>
      </c>
      <c r="Y14" t="s">
        <v>248</v>
      </c>
      <c r="Z14" t="s">
        <v>249</v>
      </c>
      <c r="AA14" t="s">
        <v>250</v>
      </c>
      <c r="AB14" t="s">
        <v>251</v>
      </c>
      <c r="AC14" t="s">
        <v>252</v>
      </c>
      <c r="AD14" t="s">
        <v>253</v>
      </c>
      <c r="AE14" t="s">
        <v>254</v>
      </c>
      <c r="AF14" t="s">
        <v>255</v>
      </c>
      <c r="AG14" t="s">
        <v>256</v>
      </c>
      <c r="AH14" t="s">
        <v>257</v>
      </c>
      <c r="AI14" t="s">
        <v>258</v>
      </c>
      <c r="AJ14" t="s">
        <v>259</v>
      </c>
      <c r="AK14" t="s">
        <v>260</v>
      </c>
      <c r="AL14" t="s">
        <v>261</v>
      </c>
      <c r="AM14" t="s">
        <v>262</v>
      </c>
      <c r="AN14" t="s">
        <v>263</v>
      </c>
      <c r="AO14" t="s">
        <v>264</v>
      </c>
      <c r="AP14" t="s">
        <v>265</v>
      </c>
      <c r="AQ14" t="s">
        <v>266</v>
      </c>
      <c r="AR14" t="s">
        <v>267</v>
      </c>
      <c r="AS14" t="s">
        <v>268</v>
      </c>
      <c r="CF14" s="42" t="s">
        <v>51</v>
      </c>
    </row>
    <row r="15" spans="1:84" ht="43.15">
      <c r="A15" s="44" t="s">
        <v>51</v>
      </c>
      <c r="B15" s="44" t="s">
        <v>51</v>
      </c>
      <c r="C15" s="44" t="s">
        <v>51</v>
      </c>
      <c r="D15" s="44" t="s">
        <v>51</v>
      </c>
      <c r="E15" s="44" t="s">
        <v>51</v>
      </c>
      <c r="F15" s="44" t="s">
        <v>51</v>
      </c>
      <c r="G15" s="44">
        <f t="shared" si="3"/>
        <v>9</v>
      </c>
      <c r="H15" s="41" t="s">
        <v>269</v>
      </c>
      <c r="I15" s="58" t="s">
        <v>270</v>
      </c>
      <c r="J15" s="115" t="s">
        <v>271</v>
      </c>
      <c r="K15" s="113" t="s">
        <v>55</v>
      </c>
      <c r="L15" s="118">
        <v>15</v>
      </c>
      <c r="M15" t="str">
        <f>_xlfn.CONCAT(Table134[[#This Row],[Topic]], " - ", Table134[[#This Row],[Time]])</f>
        <v>Angular-Code - 15</v>
      </c>
      <c r="N15" t="s">
        <v>272</v>
      </c>
      <c r="O15" t="s">
        <v>273</v>
      </c>
      <c r="P15" t="s">
        <v>274</v>
      </c>
      <c r="Q15" t="s">
        <v>275</v>
      </c>
      <c r="R15" t="s">
        <v>276</v>
      </c>
      <c r="S15" t="s">
        <v>174</v>
      </c>
      <c r="T15" t="s">
        <v>243</v>
      </c>
      <c r="U15" t="s">
        <v>277</v>
      </c>
      <c r="V15" t="s">
        <v>64</v>
      </c>
      <c r="W15" t="s">
        <v>278</v>
      </c>
      <c r="X15" t="s">
        <v>279</v>
      </c>
      <c r="Y15" t="s">
        <v>280</v>
      </c>
      <c r="Z15" t="s">
        <v>281</v>
      </c>
      <c r="AA15" t="s">
        <v>282</v>
      </c>
      <c r="AB15" t="s">
        <v>283</v>
      </c>
      <c r="AC15" t="s">
        <v>284</v>
      </c>
      <c r="AD15" t="s">
        <v>285</v>
      </c>
      <c r="AE15" t="s">
        <v>286</v>
      </c>
      <c r="AF15" t="s">
        <v>287</v>
      </c>
      <c r="AG15" t="s">
        <v>288</v>
      </c>
      <c r="AH15" t="s">
        <v>289</v>
      </c>
      <c r="AI15" t="s">
        <v>290</v>
      </c>
      <c r="AJ15" t="s">
        <v>291</v>
      </c>
      <c r="AK15" t="s">
        <v>292</v>
      </c>
      <c r="AL15" t="s">
        <v>293</v>
      </c>
      <c r="AM15" t="s">
        <v>294</v>
      </c>
      <c r="AN15" t="s">
        <v>295</v>
      </c>
      <c r="AO15" t="s">
        <v>296</v>
      </c>
      <c r="AP15" t="s">
        <v>297</v>
      </c>
      <c r="AQ15" t="s">
        <v>298</v>
      </c>
      <c r="AR15" t="s">
        <v>299</v>
      </c>
      <c r="AS15" t="s">
        <v>300</v>
      </c>
      <c r="AT15" t="s">
        <v>301</v>
      </c>
      <c r="AU15" t="s">
        <v>302</v>
      </c>
      <c r="AV15" t="s">
        <v>303</v>
      </c>
      <c r="AW15" t="s">
        <v>304</v>
      </c>
      <c r="AX15" t="s">
        <v>305</v>
      </c>
      <c r="AY15" t="s">
        <v>306</v>
      </c>
      <c r="AZ15" t="s">
        <v>307</v>
      </c>
      <c r="BA15" t="s">
        <v>308</v>
      </c>
      <c r="CF15" s="44" t="s">
        <v>51</v>
      </c>
    </row>
    <row r="16" spans="1:84" ht="81.599999999999994" customHeight="1">
      <c r="A16" s="42" t="s">
        <v>51</v>
      </c>
      <c r="B16" s="42" t="s">
        <v>51</v>
      </c>
      <c r="C16" s="42" t="s">
        <v>51</v>
      </c>
      <c r="D16" s="42" t="s">
        <v>51</v>
      </c>
      <c r="E16" s="42" t="s">
        <v>51</v>
      </c>
      <c r="F16" s="42" t="s">
        <v>51</v>
      </c>
      <c r="G16" s="42">
        <f t="shared" si="3"/>
        <v>10</v>
      </c>
      <c r="H16" s="43" t="s">
        <v>309</v>
      </c>
      <c r="I16" s="59"/>
      <c r="J16" s="65"/>
      <c r="K16" s="152" t="s">
        <v>310</v>
      </c>
      <c r="L16" s="43">
        <v>16</v>
      </c>
      <c r="M16" t="str">
        <f>_xlfn.CONCAT(Table134[[#This Row],[Topic]], " - ", Table134[[#This Row],[Time]])</f>
        <v>Exercise  1 - 16</v>
      </c>
      <c r="P16" s="62"/>
      <c r="Q16" s="62"/>
      <c r="R16" s="63"/>
      <c r="CF16" s="42" t="s">
        <v>51</v>
      </c>
    </row>
    <row r="17" spans="1:89" ht="43.15">
      <c r="A17" s="44" t="s">
        <v>51</v>
      </c>
      <c r="B17" s="44" t="s">
        <v>51</v>
      </c>
      <c r="C17" s="44" t="s">
        <v>51</v>
      </c>
      <c r="D17" s="44" t="s">
        <v>51</v>
      </c>
      <c r="E17" s="44"/>
      <c r="F17" s="44"/>
      <c r="G17" s="44">
        <f t="shared" si="3"/>
        <v>11</v>
      </c>
      <c r="H17" s="41" t="s">
        <v>311</v>
      </c>
      <c r="I17" s="58" t="s">
        <v>312</v>
      </c>
      <c r="J17" s="115" t="s">
        <v>313</v>
      </c>
      <c r="K17" s="113" t="s">
        <v>55</v>
      </c>
      <c r="L17" s="118">
        <v>13</v>
      </c>
      <c r="M17" t="str">
        <f>_xlfn.CONCAT(Table134[[#This Row],[Topic]], " - ", Table134[[#This Row],[Time]])</f>
        <v>Angular-Forms - 13</v>
      </c>
      <c r="N17" t="s">
        <v>314</v>
      </c>
      <c r="O17" t="s">
        <v>315</v>
      </c>
      <c r="P17" t="s">
        <v>274</v>
      </c>
      <c r="Q17" t="s">
        <v>316</v>
      </c>
      <c r="R17" t="s">
        <v>317</v>
      </c>
      <c r="S17" t="s">
        <v>174</v>
      </c>
      <c r="T17" t="s">
        <v>129</v>
      </c>
      <c r="U17" t="s">
        <v>318</v>
      </c>
      <c r="V17" t="s">
        <v>64</v>
      </c>
      <c r="W17" t="s">
        <v>319</v>
      </c>
      <c r="X17" t="s">
        <v>320</v>
      </c>
      <c r="Y17" t="s">
        <v>321</v>
      </c>
      <c r="Z17" t="s">
        <v>322</v>
      </c>
      <c r="AA17" t="s">
        <v>323</v>
      </c>
      <c r="AB17" t="s">
        <v>324</v>
      </c>
      <c r="AC17" t="s">
        <v>325</v>
      </c>
      <c r="AD17" t="s">
        <v>326</v>
      </c>
      <c r="AE17" t="s">
        <v>327</v>
      </c>
      <c r="AF17" t="s">
        <v>328</v>
      </c>
      <c r="AG17" t="s">
        <v>329</v>
      </c>
      <c r="AH17" t="s">
        <v>330</v>
      </c>
      <c r="AI17" t="s">
        <v>331</v>
      </c>
      <c r="CF17" s="44" t="s">
        <v>51</v>
      </c>
    </row>
    <row r="18" spans="1:89" ht="43.15">
      <c r="A18" s="42" t="s">
        <v>51</v>
      </c>
      <c r="B18" s="42" t="s">
        <v>51</v>
      </c>
      <c r="C18" s="42" t="s">
        <v>51</v>
      </c>
      <c r="D18" s="42" t="s">
        <v>51</v>
      </c>
      <c r="E18" s="42" t="s">
        <v>51</v>
      </c>
      <c r="F18" s="42" t="s">
        <v>51</v>
      </c>
      <c r="G18" s="42">
        <f t="shared" si="3"/>
        <v>12</v>
      </c>
      <c r="H18" s="43" t="s">
        <v>332</v>
      </c>
      <c r="I18" s="59" t="s">
        <v>333</v>
      </c>
      <c r="J18" s="45" t="s">
        <v>334</v>
      </c>
      <c r="K18" s="113" t="s">
        <v>55</v>
      </c>
      <c r="L18" s="43">
        <v>20</v>
      </c>
      <c r="M18" t="str">
        <f>_xlfn.CONCAT(Table134[[#This Row],[Topic]], " - ", Table134[[#This Row],[Time]])</f>
        <v>Angular-Forms-Material - 20</v>
      </c>
      <c r="N18" t="s">
        <v>335</v>
      </c>
      <c r="O18" t="s">
        <v>336</v>
      </c>
      <c r="P18" t="s">
        <v>274</v>
      </c>
      <c r="Q18" t="s">
        <v>337</v>
      </c>
      <c r="R18" t="s">
        <v>338</v>
      </c>
      <c r="S18" t="s">
        <v>339</v>
      </c>
      <c r="T18" t="s">
        <v>340</v>
      </c>
      <c r="U18" t="s">
        <v>341</v>
      </c>
      <c r="V18" t="s">
        <v>342</v>
      </c>
      <c r="W18" t="s">
        <v>343</v>
      </c>
      <c r="X18" t="s">
        <v>344</v>
      </c>
      <c r="Y18" t="s">
        <v>345</v>
      </c>
      <c r="Z18" t="s">
        <v>346</v>
      </c>
      <c r="AA18" t="s">
        <v>347</v>
      </c>
      <c r="AB18" t="s">
        <v>348</v>
      </c>
      <c r="AC18" t="s">
        <v>349</v>
      </c>
      <c r="AD18" t="s">
        <v>350</v>
      </c>
      <c r="AE18" t="s">
        <v>351</v>
      </c>
      <c r="AF18" t="s">
        <v>352</v>
      </c>
      <c r="AG18" t="s">
        <v>353</v>
      </c>
      <c r="AH18" t="s">
        <v>354</v>
      </c>
      <c r="AI18" t="s">
        <v>355</v>
      </c>
      <c r="AJ18" t="s">
        <v>356</v>
      </c>
      <c r="AK18" t="s">
        <v>357</v>
      </c>
      <c r="AL18" t="s">
        <v>358</v>
      </c>
      <c r="AM18" t="s">
        <v>359</v>
      </c>
      <c r="AN18" t="s">
        <v>360</v>
      </c>
      <c r="AO18" t="s">
        <v>361</v>
      </c>
      <c r="AP18" t="s">
        <v>362</v>
      </c>
      <c r="AQ18" t="s">
        <v>363</v>
      </c>
      <c r="CF18" s="42" t="s">
        <v>51</v>
      </c>
    </row>
    <row r="19" spans="1:89" ht="100.9">
      <c r="A19" s="44" t="s">
        <v>51</v>
      </c>
      <c r="B19" s="44" t="s">
        <v>51</v>
      </c>
      <c r="C19" s="44" t="s">
        <v>51</v>
      </c>
      <c r="D19" s="44" t="s">
        <v>51</v>
      </c>
      <c r="E19" s="44" t="s">
        <v>51</v>
      </c>
      <c r="F19" s="44" t="s">
        <v>51</v>
      </c>
      <c r="G19" s="44">
        <f t="shared" si="3"/>
        <v>13</v>
      </c>
      <c r="H19" s="41" t="s">
        <v>364</v>
      </c>
      <c r="I19" s="58"/>
      <c r="J19" s="115"/>
      <c r="K19" s="113" t="s">
        <v>365</v>
      </c>
      <c r="L19" s="118">
        <v>16</v>
      </c>
      <c r="M19" t="str">
        <f>_xlfn.CONCAT(Table134[[#This Row],[Topic]], " - ", Table134[[#This Row],[Time]])</f>
        <v>Exercise  2 - 16</v>
      </c>
      <c r="CF19" s="44" t="s">
        <v>51</v>
      </c>
    </row>
    <row r="20" spans="1:89" ht="43.15">
      <c r="A20" s="42" t="s">
        <v>51</v>
      </c>
      <c r="B20" s="42" t="s">
        <v>51</v>
      </c>
      <c r="C20" s="42" t="s">
        <v>51</v>
      </c>
      <c r="D20" s="42" t="s">
        <v>51</v>
      </c>
      <c r="E20" s="42" t="s">
        <v>51</v>
      </c>
      <c r="F20" s="42"/>
      <c r="G20" s="42">
        <f t="shared" si="3"/>
        <v>14</v>
      </c>
      <c r="H20" s="43" t="s">
        <v>366</v>
      </c>
      <c r="I20" s="59" t="s">
        <v>367</v>
      </c>
      <c r="J20" s="45" t="s">
        <v>368</v>
      </c>
      <c r="K20" s="113" t="s">
        <v>55</v>
      </c>
      <c r="L20" s="43">
        <v>8</v>
      </c>
      <c r="M20" t="str">
        <f>_xlfn.CONCAT(Table134[[#This Row],[Topic]], " - ", Table134[[#This Row],[Time]])</f>
        <v>Angular.Code-Routing - 8</v>
      </c>
      <c r="N20" t="s">
        <v>369</v>
      </c>
      <c r="O20" t="s">
        <v>370</v>
      </c>
      <c r="P20" t="s">
        <v>274</v>
      </c>
      <c r="Q20" t="s">
        <v>371</v>
      </c>
      <c r="R20" t="s">
        <v>372</v>
      </c>
      <c r="S20" t="s">
        <v>174</v>
      </c>
      <c r="T20" t="s">
        <v>373</v>
      </c>
      <c r="U20" t="s">
        <v>374</v>
      </c>
      <c r="V20" t="s">
        <v>64</v>
      </c>
      <c r="W20" t="s">
        <v>375</v>
      </c>
      <c r="X20" t="s">
        <v>376</v>
      </c>
      <c r="Y20" t="s">
        <v>377</v>
      </c>
      <c r="Z20" t="s">
        <v>378</v>
      </c>
      <c r="AA20" t="s">
        <v>379</v>
      </c>
      <c r="AB20" t="s">
        <v>380</v>
      </c>
      <c r="AC20" t="s">
        <v>381</v>
      </c>
      <c r="AD20" t="s">
        <v>382</v>
      </c>
      <c r="AE20" t="s">
        <v>383</v>
      </c>
      <c r="AF20" t="s">
        <v>330</v>
      </c>
      <c r="AG20" t="s">
        <v>384</v>
      </c>
      <c r="CF20" s="42" t="s">
        <v>51</v>
      </c>
    </row>
    <row r="21" spans="1:89" ht="201.6">
      <c r="A21" s="44" t="s">
        <v>51</v>
      </c>
      <c r="B21" s="44" t="s">
        <v>51</v>
      </c>
      <c r="C21" s="44" t="s">
        <v>51</v>
      </c>
      <c r="D21" s="44" t="s">
        <v>51</v>
      </c>
      <c r="E21" s="44" t="s">
        <v>51</v>
      </c>
      <c r="F21" s="44" t="s">
        <v>51</v>
      </c>
      <c r="G21" s="44">
        <f t="shared" si="3"/>
        <v>15</v>
      </c>
      <c r="H21" s="41" t="s">
        <v>385</v>
      </c>
      <c r="I21" s="58"/>
      <c r="J21" s="115"/>
      <c r="K21" s="113" t="s">
        <v>386</v>
      </c>
      <c r="L21" s="118">
        <v>24</v>
      </c>
      <c r="M21" t="str">
        <f>_xlfn.CONCAT(Table134[[#This Row],[Topic]], " - ", Table134[[#This Row],[Time]])</f>
        <v>Exercise 3 - 24</v>
      </c>
      <c r="O21">
        <v>259</v>
      </c>
      <c r="P21">
        <f>O21/40</f>
        <v>6.4749999999999996</v>
      </c>
      <c r="CF21" s="44" t="s">
        <v>51</v>
      </c>
    </row>
    <row r="22" spans="1:89" ht="43.15">
      <c r="A22" s="42"/>
      <c r="B22" s="42" t="s">
        <v>51</v>
      </c>
      <c r="C22" s="42" t="s">
        <v>51</v>
      </c>
      <c r="D22" s="42" t="s">
        <v>51</v>
      </c>
      <c r="E22" s="42" t="s">
        <v>51</v>
      </c>
      <c r="F22" s="42" t="s">
        <v>51</v>
      </c>
      <c r="G22" s="42">
        <f t="shared" si="3"/>
        <v>16</v>
      </c>
      <c r="H22" s="43" t="s">
        <v>387</v>
      </c>
      <c r="I22" s="59" t="s">
        <v>388</v>
      </c>
      <c r="J22" s="45" t="s">
        <v>389</v>
      </c>
      <c r="K22" s="113" t="s">
        <v>55</v>
      </c>
      <c r="L22" s="43">
        <v>60</v>
      </c>
      <c r="M22" t="str">
        <f>_xlfn.CONCAT(Table134[[#This Row],[Topic]], " - ", Table134[[#This Row],[Time]])</f>
        <v>Angular-Full - 60</v>
      </c>
      <c r="N22" t="s">
        <v>390</v>
      </c>
      <c r="O22" t="s">
        <v>391</v>
      </c>
      <c r="P22" t="s">
        <v>274</v>
      </c>
      <c r="Q22" t="s">
        <v>392</v>
      </c>
      <c r="R22" t="s">
        <v>393</v>
      </c>
      <c r="S22" t="s">
        <v>174</v>
      </c>
      <c r="T22" t="s">
        <v>394</v>
      </c>
      <c r="U22" t="s">
        <v>395</v>
      </c>
      <c r="V22" t="s">
        <v>342</v>
      </c>
      <c r="W22" t="s">
        <v>396</v>
      </c>
      <c r="X22" t="s">
        <v>397</v>
      </c>
      <c r="Y22" t="s">
        <v>398</v>
      </c>
      <c r="Z22" t="s">
        <v>399</v>
      </c>
      <c r="AA22" t="s">
        <v>400</v>
      </c>
      <c r="AB22" t="s">
        <v>401</v>
      </c>
      <c r="AC22" t="s">
        <v>402</v>
      </c>
      <c r="AD22" t="s">
        <v>403</v>
      </c>
      <c r="AE22" t="s">
        <v>404</v>
      </c>
      <c r="AF22" t="s">
        <v>405</v>
      </c>
      <c r="AG22" t="s">
        <v>406</v>
      </c>
      <c r="AH22" t="s">
        <v>407</v>
      </c>
      <c r="AI22" t="s">
        <v>408</v>
      </c>
      <c r="AJ22" t="s">
        <v>409</v>
      </c>
      <c r="AK22" t="s">
        <v>410</v>
      </c>
      <c r="AL22" t="s">
        <v>411</v>
      </c>
      <c r="AM22" t="s">
        <v>412</v>
      </c>
      <c r="AN22" t="s">
        <v>413</v>
      </c>
      <c r="AO22" t="s">
        <v>414</v>
      </c>
      <c r="AP22" t="s">
        <v>415</v>
      </c>
      <c r="AQ22" t="s">
        <v>416</v>
      </c>
      <c r="AR22" t="s">
        <v>417</v>
      </c>
      <c r="AS22" t="s">
        <v>418</v>
      </c>
      <c r="AT22" t="s">
        <v>419</v>
      </c>
      <c r="AU22" t="s">
        <v>420</v>
      </c>
      <c r="AV22" t="s">
        <v>421</v>
      </c>
      <c r="AW22" t="s">
        <v>422</v>
      </c>
      <c r="AX22" t="s">
        <v>423</v>
      </c>
      <c r="AY22" t="s">
        <v>424</v>
      </c>
      <c r="AZ22" t="s">
        <v>425</v>
      </c>
      <c r="BA22" t="s">
        <v>426</v>
      </c>
      <c r="BB22" t="s">
        <v>427</v>
      </c>
      <c r="BC22" t="s">
        <v>428</v>
      </c>
      <c r="BD22" t="s">
        <v>429</v>
      </c>
      <c r="BE22" t="s">
        <v>430</v>
      </c>
      <c r="BF22" t="s">
        <v>431</v>
      </c>
      <c r="BG22" t="s">
        <v>432</v>
      </c>
      <c r="BH22" t="s">
        <v>433</v>
      </c>
      <c r="BI22" t="s">
        <v>434</v>
      </c>
      <c r="BJ22" t="s">
        <v>435</v>
      </c>
      <c r="BK22" t="s">
        <v>436</v>
      </c>
      <c r="BL22" t="s">
        <v>437</v>
      </c>
      <c r="BM22" t="s">
        <v>438</v>
      </c>
      <c r="BN22" t="s">
        <v>439</v>
      </c>
      <c r="BO22" t="s">
        <v>440</v>
      </c>
      <c r="BP22" t="s">
        <v>441</v>
      </c>
      <c r="BQ22" t="s">
        <v>442</v>
      </c>
      <c r="BR22" t="s">
        <v>443</v>
      </c>
      <c r="BS22" t="s">
        <v>444</v>
      </c>
      <c r="BT22" t="s">
        <v>445</v>
      </c>
      <c r="BU22" t="s">
        <v>446</v>
      </c>
      <c r="BV22" t="s">
        <v>447</v>
      </c>
      <c r="BW22" t="s">
        <v>448</v>
      </c>
      <c r="BX22" t="s">
        <v>449</v>
      </c>
      <c r="BY22" t="s">
        <v>450</v>
      </c>
      <c r="BZ22" t="s">
        <v>451</v>
      </c>
      <c r="CA22" t="s">
        <v>452</v>
      </c>
      <c r="CB22" t="s">
        <v>453</v>
      </c>
      <c r="CC22" t="s">
        <v>454</v>
      </c>
      <c r="CD22" t="s">
        <v>455</v>
      </c>
      <c r="CE22" t="s">
        <v>456</v>
      </c>
      <c r="CF22" s="42" t="s">
        <v>51</v>
      </c>
      <c r="CG22" t="s">
        <v>457</v>
      </c>
      <c r="CH22" t="s">
        <v>458</v>
      </c>
      <c r="CI22" t="s">
        <v>459</v>
      </c>
      <c r="CJ22" t="s">
        <v>460</v>
      </c>
      <c r="CK22" t="s">
        <v>461</v>
      </c>
    </row>
    <row r="23" spans="1:89" ht="188.25" customHeight="1">
      <c r="A23" s="44" t="s">
        <v>51</v>
      </c>
      <c r="B23" s="44" t="s">
        <v>51</v>
      </c>
      <c r="C23" s="44" t="s">
        <v>51</v>
      </c>
      <c r="D23" s="44" t="s">
        <v>51</v>
      </c>
      <c r="E23" s="44" t="s">
        <v>51</v>
      </c>
      <c r="F23" s="44" t="s">
        <v>51</v>
      </c>
      <c r="G23" s="44">
        <f t="shared" si="3"/>
        <v>17</v>
      </c>
      <c r="H23" s="41" t="s">
        <v>462</v>
      </c>
      <c r="I23" s="60"/>
      <c r="J23" s="66"/>
      <c r="K23" s="119" t="s">
        <v>463</v>
      </c>
      <c r="L23" s="41">
        <v>32</v>
      </c>
      <c r="M23" t="str">
        <f>_xlfn.CONCAT(Table134[[#This Row],[Topic]], " - ", Table134[[#This Row],[Time]])</f>
        <v>Exercise 4 - 32</v>
      </c>
      <c r="P23" s="62"/>
      <c r="Q23" s="62"/>
      <c r="R23" s="63"/>
      <c r="CF23" s="44" t="s">
        <v>51</v>
      </c>
    </row>
    <row r="24" spans="1:89" ht="43.15">
      <c r="A24" s="42"/>
      <c r="B24" s="42" t="s">
        <v>51</v>
      </c>
      <c r="C24" s="42" t="s">
        <v>51</v>
      </c>
      <c r="D24" s="42" t="s">
        <v>51</v>
      </c>
      <c r="E24" s="42" t="s">
        <v>51</v>
      </c>
      <c r="F24" s="42" t="s">
        <v>51</v>
      </c>
      <c r="G24" s="42">
        <f t="shared" si="3"/>
        <v>18</v>
      </c>
      <c r="H24" s="43" t="s">
        <v>464</v>
      </c>
      <c r="I24" s="57" t="s">
        <v>465</v>
      </c>
      <c r="J24" s="45" t="s">
        <v>466</v>
      </c>
      <c r="K24" s="113" t="s">
        <v>55</v>
      </c>
      <c r="L24" s="43">
        <v>8</v>
      </c>
      <c r="M24" t="str">
        <f>_xlfn.CONCAT(Table134[[#This Row],[Topic]], " - ", Table134[[#This Row],[Time]])</f>
        <v>Angular-Test - 8</v>
      </c>
      <c r="N24" t="s">
        <v>467</v>
      </c>
      <c r="O24" t="s">
        <v>468</v>
      </c>
      <c r="P24" t="s">
        <v>58</v>
      </c>
      <c r="Q24" t="s">
        <v>469</v>
      </c>
      <c r="R24" t="s">
        <v>470</v>
      </c>
      <c r="S24" t="s">
        <v>174</v>
      </c>
      <c r="T24" t="s">
        <v>175</v>
      </c>
      <c r="U24" t="s">
        <v>471</v>
      </c>
      <c r="V24" t="s">
        <v>472</v>
      </c>
      <c r="W24" t="s">
        <v>473</v>
      </c>
      <c r="X24" t="s">
        <v>474</v>
      </c>
      <c r="Y24" t="s">
        <v>475</v>
      </c>
      <c r="Z24" t="s">
        <v>476</v>
      </c>
      <c r="AA24" t="s">
        <v>477</v>
      </c>
      <c r="AB24" t="s">
        <v>478</v>
      </c>
      <c r="AC24" t="s">
        <v>479</v>
      </c>
      <c r="AD24" t="s">
        <v>480</v>
      </c>
      <c r="AE24" t="s">
        <v>481</v>
      </c>
      <c r="AF24" t="s">
        <v>482</v>
      </c>
      <c r="AG24" t="s">
        <v>483</v>
      </c>
      <c r="AH24" t="s">
        <v>330</v>
      </c>
      <c r="AI24" t="s">
        <v>484</v>
      </c>
      <c r="CF24" s="42" t="s">
        <v>51</v>
      </c>
    </row>
    <row r="25" spans="1:89" ht="15.6">
      <c r="A25" s="44"/>
      <c r="B25" s="44" t="s">
        <v>51</v>
      </c>
      <c r="C25" s="44" t="s">
        <v>51</v>
      </c>
      <c r="D25" s="44" t="s">
        <v>51</v>
      </c>
      <c r="E25" s="44" t="s">
        <v>51</v>
      </c>
      <c r="F25" s="44" t="s">
        <v>51</v>
      </c>
      <c r="G25" s="44">
        <f t="shared" si="3"/>
        <v>19</v>
      </c>
      <c r="H25" s="41" t="s">
        <v>485</v>
      </c>
      <c r="I25" s="58"/>
      <c r="J25" s="58"/>
      <c r="K25" s="153" t="s">
        <v>486</v>
      </c>
      <c r="L25" s="68">
        <v>18</v>
      </c>
      <c r="M25" t="str">
        <f>_xlfn.CONCAT(Table134[[#This Row],[Topic]], " - ", Table134[[#This Row],[Time]])</f>
        <v>Ejecicio 5 - 18</v>
      </c>
      <c r="N25" s="64"/>
      <c r="CF25" s="44" t="s">
        <v>51</v>
      </c>
    </row>
    <row r="26" spans="1:89" ht="15.6">
      <c r="A26" s="42"/>
      <c r="B26" s="42" t="s">
        <v>51</v>
      </c>
      <c r="C26" s="42" t="s">
        <v>51</v>
      </c>
      <c r="D26" s="42" t="s">
        <v>51</v>
      </c>
      <c r="E26" s="42" t="s">
        <v>51</v>
      </c>
      <c r="F26" s="42" t="s">
        <v>51</v>
      </c>
      <c r="G26" s="42">
        <f t="shared" si="3"/>
        <v>20</v>
      </c>
      <c r="H26" s="46" t="s">
        <v>487</v>
      </c>
      <c r="I26" s="57" t="s">
        <v>488</v>
      </c>
      <c r="J26" s="90" t="s">
        <v>489</v>
      </c>
      <c r="K26" s="113" t="s">
        <v>490</v>
      </c>
      <c r="L26" s="43">
        <v>60</v>
      </c>
      <c r="M26" t="str">
        <f>_xlfn.CONCAT(Table134[[#This Row],[Topic]], " - ", Table134[[#This Row],[Time]])</f>
        <v>Final Project - 60</v>
      </c>
      <c r="R26" s="63"/>
      <c r="CF26" s="42" t="s">
        <v>51</v>
      </c>
    </row>
    <row r="27" spans="1:89" ht="14.45">
      <c r="A27" s="47"/>
      <c r="B27" s="47"/>
      <c r="C27" s="47"/>
      <c r="D27" s="47"/>
      <c r="E27" s="47"/>
      <c r="F27" s="47"/>
      <c r="G27" s="48"/>
      <c r="H27" s="48"/>
      <c r="I27" s="48"/>
      <c r="J27" s="49"/>
      <c r="K27" s="154"/>
      <c r="L27" s="48"/>
      <c r="M27" t="str">
        <f>_xlfn.CONCAT(Table134[[#This Row],[Topic]], " - ", Table134[[#This Row],[Time]])</f>
        <v xml:space="preserve"> - </v>
      </c>
      <c r="N27">
        <f>92/40</f>
        <v>2.2999999999999998</v>
      </c>
      <c r="P27" s="62"/>
      <c r="R27" s="63"/>
    </row>
    <row r="28" spans="1:89" ht="14.45">
      <c r="A28" s="50"/>
      <c r="B28" s="50"/>
      <c r="C28" s="50"/>
      <c r="D28" s="50"/>
      <c r="E28" s="50"/>
      <c r="F28" s="50"/>
      <c r="G28" s="51"/>
      <c r="H28" s="51"/>
      <c r="I28" s="51"/>
      <c r="J28" s="51"/>
      <c r="K28" s="155"/>
      <c r="L28" s="121"/>
      <c r="M28">
        <f>118/8</f>
        <v>14.75</v>
      </c>
    </row>
    <row r="29" spans="1:89" ht="14.45">
      <c r="A29" s="53"/>
      <c r="B29" s="53"/>
      <c r="C29" s="53"/>
      <c r="D29" s="53"/>
      <c r="E29" s="53"/>
      <c r="F29" s="53"/>
      <c r="G29" s="54"/>
      <c r="H29" s="54"/>
      <c r="I29" s="54"/>
      <c r="J29" s="120"/>
      <c r="K29" s="156"/>
      <c r="L29" s="121"/>
      <c r="M29" t="str">
        <f>_xlfn.CONCAT(Table134[[#This Row],[Topic]], " - ", Table134[[#This Row],[Time]])</f>
        <v xml:space="preserve"> - </v>
      </c>
      <c r="N29">
        <f>118/8</f>
        <v>14.75</v>
      </c>
    </row>
    <row r="30" spans="1:89" ht="14.45">
      <c r="A30" s="42"/>
      <c r="B30" s="42"/>
      <c r="C30" s="42"/>
      <c r="D30" s="42"/>
      <c r="E30" s="42"/>
      <c r="F30" s="42"/>
      <c r="G30" s="43"/>
      <c r="H30" s="43"/>
      <c r="I30" s="43"/>
      <c r="J30" s="51"/>
      <c r="K30" s="155"/>
      <c r="L30" s="121"/>
      <c r="M30" t="str">
        <f>_xlfn.CONCAT(Table134[[#This Row],[Topic]], " - ", Table134[[#This Row],[Time]])</f>
        <v xml:space="preserve"> - </v>
      </c>
    </row>
    <row r="31" spans="1:89" ht="15.6">
      <c r="A31" s="25"/>
      <c r="B31" s="25"/>
      <c r="C31" s="25"/>
      <c r="D31" s="25"/>
      <c r="E31" s="25"/>
      <c r="F31" s="25"/>
      <c r="G31" s="25"/>
      <c r="H31" s="26"/>
      <c r="I31" s="26"/>
      <c r="J31" s="120"/>
      <c r="K31" s="157"/>
      <c r="L31" s="31"/>
      <c r="M31" t="str">
        <f>_xlfn.CONCAT(Table134[[#This Row],[Topic]], " - ", Table134[[#This Row],[Time]])</f>
        <v xml:space="preserve"> - </v>
      </c>
    </row>
    <row r="32" spans="1:89" ht="15.6">
      <c r="A32" s="25"/>
      <c r="B32" s="25"/>
      <c r="C32" s="25"/>
      <c r="D32" s="25"/>
      <c r="E32" s="25"/>
      <c r="F32" s="25"/>
      <c r="G32" s="25"/>
      <c r="H32" s="3"/>
      <c r="I32" s="3"/>
      <c r="J32" s="120"/>
      <c r="K32" s="158"/>
      <c r="L32" s="31"/>
      <c r="M32" t="str">
        <f>_xlfn.CONCAT(Table134[[#This Row],[Topic]], " - ", Table134[[#This Row],[Time]])</f>
        <v xml:space="preserve"> - </v>
      </c>
    </row>
    <row r="33" spans="1:15" ht="15.6">
      <c r="A33" s="25"/>
      <c r="B33" s="25"/>
      <c r="C33" s="25"/>
      <c r="D33" s="25"/>
      <c r="E33" s="25"/>
      <c r="F33" s="25"/>
      <c r="G33" s="25"/>
      <c r="H33" s="26"/>
      <c r="I33" s="26"/>
      <c r="J33" s="28"/>
      <c r="K33" s="157"/>
      <c r="L33" s="31"/>
      <c r="M33" t="str">
        <f>_xlfn.CONCAT(Table134[[#This Row],[Topic]], " - ", Table134[[#This Row],[Time]])</f>
        <v xml:space="preserve"> - </v>
      </c>
    </row>
    <row r="34" spans="1:15" ht="15.6">
      <c r="A34" s="25" t="s">
        <v>491</v>
      </c>
      <c r="B34" s="25"/>
      <c r="C34" s="25"/>
      <c r="D34" s="25"/>
      <c r="E34" s="25"/>
      <c r="F34" s="25"/>
      <c r="G34" s="25"/>
      <c r="H34" s="26"/>
      <c r="I34" s="26"/>
      <c r="J34" s="28"/>
      <c r="K34" s="157"/>
      <c r="L34" s="31"/>
      <c r="M34" t="str">
        <f>_xlfn.CONCAT(Table134[[#This Row],[Topic]], " - ", Table134[[#This Row],[Time]])</f>
        <v xml:space="preserve"> - </v>
      </c>
    </row>
    <row r="35" spans="1:15" ht="15.6">
      <c r="A35" s="25"/>
      <c r="B35" s="25"/>
      <c r="C35" s="25"/>
      <c r="D35" s="25"/>
      <c r="E35" s="25"/>
      <c r="F35" s="25"/>
      <c r="G35" s="25"/>
      <c r="H35" s="26"/>
      <c r="I35" s="26"/>
      <c r="J35" s="28"/>
      <c r="K35" s="157"/>
      <c r="L35" s="31"/>
      <c r="M35" t="str">
        <f>_xlfn.CONCAT(Table134[[#This Row],[Topic]], " - ", Table134[[#This Row],[Time]])</f>
        <v xml:space="preserve"> - </v>
      </c>
    </row>
    <row r="36" spans="1:15" ht="15.6">
      <c r="A36" s="25"/>
      <c r="B36" s="25"/>
      <c r="C36" s="25"/>
      <c r="D36" s="25"/>
      <c r="E36" s="25"/>
      <c r="F36" s="25"/>
      <c r="G36" s="25"/>
      <c r="H36" s="26"/>
      <c r="I36" s="27"/>
      <c r="J36" s="52" t="s">
        <v>492</v>
      </c>
      <c r="K36" s="158">
        <f>118/8</f>
        <v>14.75</v>
      </c>
      <c r="L36" s="51"/>
      <c r="M36" t="str">
        <f>_xlfn.CONCAT(Table134[[#This Row],[Topic]], " - ", Table134[[#This Row],[Time]])</f>
        <v xml:space="preserve"> - </v>
      </c>
    </row>
    <row r="37" spans="1:15" ht="15.6">
      <c r="A37" s="25"/>
      <c r="B37" s="25"/>
      <c r="C37" s="25"/>
      <c r="D37" s="25"/>
      <c r="E37" s="25"/>
      <c r="F37" s="25"/>
      <c r="G37" s="25"/>
      <c r="H37" s="32"/>
      <c r="I37" s="32"/>
      <c r="J37" s="55" t="s">
        <v>493</v>
      </c>
      <c r="K37" s="159"/>
      <c r="L37" s="15">
        <v>34</v>
      </c>
      <c r="M37" t="str">
        <f>_xlfn.CONCAT(Table134[[#This Row],[Topic]], " - ", Table134[[#This Row],[Time]])</f>
        <v xml:space="preserve"> - 34</v>
      </c>
    </row>
    <row r="38" spans="1:15" ht="15.6">
      <c r="A38" s="25" t="s">
        <v>494</v>
      </c>
      <c r="B38" s="25"/>
      <c r="C38" s="25"/>
      <c r="D38" s="25"/>
      <c r="E38" s="25"/>
      <c r="F38" s="25"/>
      <c r="G38" s="25"/>
      <c r="H38" s="27"/>
      <c r="I38" s="30"/>
      <c r="J38" s="56" t="s">
        <v>495</v>
      </c>
      <c r="K38" s="157"/>
      <c r="L38" s="51">
        <v>45</v>
      </c>
      <c r="M38" t="str">
        <f>_xlfn.CONCAT(Table134[[#This Row],[Topic]], " - ", Table134[[#This Row],[Time]])</f>
        <v xml:space="preserve"> - 45</v>
      </c>
      <c r="O38">
        <f>118/40</f>
        <v>2.95</v>
      </c>
    </row>
    <row r="39" spans="1:15" ht="15.6">
      <c r="A39" s="25"/>
      <c r="B39" s="25"/>
      <c r="C39" s="25"/>
      <c r="D39" s="25"/>
      <c r="E39" s="25"/>
      <c r="F39" s="25"/>
      <c r="G39" s="25"/>
      <c r="H39" s="27"/>
      <c r="I39" s="30"/>
      <c r="J39" s="28"/>
      <c r="K39" s="157"/>
      <c r="L39" s="29"/>
      <c r="M39" t="str">
        <f>_xlfn.CONCAT(Table134[[#This Row],[Topic]], " - ", Table134[[#This Row],[Time]])</f>
        <v xml:space="preserve"> - </v>
      </c>
    </row>
    <row r="40" spans="1:15" ht="15.6">
      <c r="A40" s="25"/>
      <c r="B40" s="25"/>
      <c r="C40" s="25"/>
      <c r="D40" s="25"/>
      <c r="E40" s="25"/>
      <c r="F40" s="25"/>
      <c r="G40" s="25"/>
      <c r="H40" s="27"/>
      <c r="I40" s="30"/>
      <c r="J40" s="30"/>
      <c r="K40" s="157"/>
      <c r="L40" s="29"/>
      <c r="M40" t="str">
        <f>_xlfn.CONCAT(Table134[[#This Row],[Topic]], " - ", Table134[[#This Row],[Time]])</f>
        <v xml:space="preserve"> - </v>
      </c>
    </row>
    <row r="41" spans="1:15" ht="15.6">
      <c r="A41" s="147" t="s">
        <v>51</v>
      </c>
      <c r="C41" s="25"/>
      <c r="D41" s="25"/>
      <c r="E41" s="25"/>
      <c r="F41" s="25"/>
      <c r="G41" s="25"/>
      <c r="H41" s="30" t="s">
        <v>496</v>
      </c>
      <c r="I41" s="58"/>
      <c r="J41" s="28" t="s">
        <v>497</v>
      </c>
      <c r="K41" s="157"/>
      <c r="L41" s="29">
        <v>16</v>
      </c>
      <c r="M41" t="str">
        <f>_xlfn.CONCAT(Table134[[#This Row],[Topic]], " - ", Table134[[#This Row],[Time]])</f>
        <v>Angular / .Net Core - 16</v>
      </c>
    </row>
    <row r="42" spans="1:15" ht="15.6">
      <c r="A42" s="25"/>
      <c r="B42" s="25"/>
      <c r="C42" s="25"/>
      <c r="D42" s="25"/>
      <c r="E42" s="25"/>
      <c r="F42" s="25"/>
      <c r="G42" s="25"/>
      <c r="H42" s="26"/>
      <c r="I42" s="30"/>
      <c r="J42" s="28"/>
      <c r="K42" s="157"/>
      <c r="L42" s="29"/>
      <c r="M42" t="str">
        <f>_xlfn.CONCAT(Table134[[#This Row],[Topic]], " - ", Table134[[#This Row],[Time]])</f>
        <v xml:space="preserve"> - </v>
      </c>
    </row>
    <row r="43" spans="1:15" ht="15.6">
      <c r="A43" s="25"/>
      <c r="B43" s="25"/>
      <c r="C43" s="25"/>
      <c r="D43" s="25"/>
      <c r="E43" s="25"/>
      <c r="F43" s="25"/>
      <c r="G43" s="25"/>
      <c r="H43" s="26"/>
      <c r="I43" s="26"/>
      <c r="J43" s="28"/>
      <c r="K43" s="158"/>
      <c r="L43" s="31"/>
      <c r="M43" t="str">
        <f>_xlfn.CONCAT(Table134[[#This Row],[Topic]], " - ", Table134[[#This Row],[Time]])</f>
        <v xml:space="preserve"> - </v>
      </c>
    </row>
    <row r="44" spans="1:15" ht="14.45">
      <c r="H44" s="33"/>
      <c r="I44" s="33"/>
      <c r="J44" s="34"/>
      <c r="K44" s="160"/>
      <c r="L44" s="35"/>
      <c r="M44" t="str">
        <f>_xlfn.CONCAT(Table134[[#This Row],[Topic]], " - ", Table134[[#This Row],[Time]])</f>
        <v xml:space="preserve"> - </v>
      </c>
      <c r="N44">
        <f>358/40</f>
        <v>8.9499999999999993</v>
      </c>
    </row>
    <row r="45" spans="1:15" ht="14.45">
      <c r="H45" s="33"/>
      <c r="I45" s="33"/>
      <c r="J45" s="34"/>
      <c r="K45" s="160"/>
      <c r="L45" s="35"/>
      <c r="M45" t="str">
        <f>_xlfn.CONCAT(Table134[[#This Row],[Topic]], " - ", Table134[[#This Row],[Time]])</f>
        <v xml:space="preserve"> - </v>
      </c>
    </row>
    <row r="46" spans="1:15" ht="15" customHeight="1">
      <c r="M46" t="str">
        <f>_xlfn.CONCAT(Table134[[#This Row],[Topic]], " - ", Table134[[#This Row],[Time]])</f>
        <v xml:space="preserve"> - </v>
      </c>
    </row>
    <row r="47" spans="1:15" ht="15" customHeight="1">
      <c r="M47" t="str">
        <f>_xlfn.CONCAT(Table134[[#This Row],[Topic]], " - ", Table134[[#This Row],[Time]])</f>
        <v xml:space="preserve"> - </v>
      </c>
    </row>
  </sheetData>
  <mergeCells count="1">
    <mergeCell ref="H5:I6"/>
  </mergeCells>
  <conditionalFormatting sqref="H8:L9 J24 J20 K28:K30 J36:J38 K32:L32 J40 J27:K27 I26 H27:I40 H42:I43 H41 J10:K15 J17:K17 J19:K19 J21:K21 J22 H10:H26">
    <cfRule type="expression" dxfId="50" priority="24">
      <formula>ROW()=CELL("Row")</formula>
    </cfRule>
  </conditionalFormatting>
  <conditionalFormatting sqref="H44:L45 K33:L35 K37:L42 L43 K18">
    <cfRule type="expression" dxfId="49" priority="23">
      <formula>ROW()=CELL("Row")</formula>
    </cfRule>
  </conditionalFormatting>
  <conditionalFormatting sqref="I18">
    <cfRule type="expression" dxfId="48" priority="19">
      <formula>ROW()=CELL("Row")</formula>
    </cfRule>
  </conditionalFormatting>
  <conditionalFormatting sqref="J18">
    <cfRule type="expression" dxfId="47" priority="17">
      <formula>ROW()=CELL("Row")</formula>
    </cfRule>
  </conditionalFormatting>
  <conditionalFormatting sqref="K36">
    <cfRule type="expression" dxfId="46" priority="16">
      <formula>ROW()=CELL("Row")</formula>
    </cfRule>
  </conditionalFormatting>
  <conditionalFormatting sqref="K43">
    <cfRule type="expression" dxfId="45" priority="14">
      <formula>ROW()=CELL("Row")</formula>
    </cfRule>
  </conditionalFormatting>
  <conditionalFormatting sqref="B8:G9">
    <cfRule type="expression" dxfId="44" priority="13">
      <formula>ROW()=CELL("Row")</formula>
    </cfRule>
  </conditionalFormatting>
  <conditionalFormatting sqref="H28:K28">
    <cfRule type="expression" dxfId="43" priority="12">
      <formula>ROW()=CELL("Row")</formula>
    </cfRule>
  </conditionalFormatting>
  <conditionalFormatting sqref="J36">
    <cfRule type="expression" dxfId="42" priority="11">
      <formula>ROW()=CELL("Row")</formula>
    </cfRule>
  </conditionalFormatting>
  <conditionalFormatting sqref="K31:L31">
    <cfRule type="expression" dxfId="41" priority="8">
      <formula>ROW()=CELL("Row")</formula>
    </cfRule>
  </conditionalFormatting>
  <conditionalFormatting sqref="K20">
    <cfRule type="expression" dxfId="40" priority="7">
      <formula>ROW()=CELL("Row")</formula>
    </cfRule>
  </conditionalFormatting>
  <conditionalFormatting sqref="K24">
    <cfRule type="expression" dxfId="39" priority="5">
      <formula>ROW()=CELL("Row")</formula>
    </cfRule>
  </conditionalFormatting>
  <conditionalFormatting sqref="J28">
    <cfRule type="expression" dxfId="38" priority="4">
      <formula>ROW()=CELL("Row")</formula>
    </cfRule>
  </conditionalFormatting>
  <conditionalFormatting sqref="J30">
    <cfRule type="expression" dxfId="37" priority="3">
      <formula>ROW()=CELL("Row")</formula>
    </cfRule>
  </conditionalFormatting>
  <conditionalFormatting sqref="J30">
    <cfRule type="expression" dxfId="36" priority="2">
      <formula>ROW()=CELL("Row")</formula>
    </cfRule>
  </conditionalFormatting>
  <conditionalFormatting sqref="K22">
    <cfRule type="expression" dxfId="35" priority="1">
      <formula>ROW()=CELL("Row")</formula>
    </cfRule>
  </conditionalFormatting>
  <hyperlinks>
    <hyperlink ref="J22" r:id="rId1" xr:uid="{5D997D98-D2CB-4DFA-A5CE-8054A91C3F3B}"/>
    <hyperlink ref="J15" r:id="rId2" xr:uid="{B4B70B42-4202-43CA-8B14-0CA31112C222}"/>
    <hyperlink ref="J18" r:id="rId3" xr:uid="{44A041BE-A027-418D-9A24-3C32711A407A}"/>
    <hyperlink ref="J17" r:id="rId4" xr:uid="{A929836E-3981-4698-AE81-B777025E314D}"/>
    <hyperlink ref="J20" r:id="rId5" xr:uid="{A3D8C9BE-0832-4512-ACCA-0BDB5FEF0D16}"/>
    <hyperlink ref="J12" r:id="rId6" xr:uid="{81544932-9286-4525-8261-765275D2FEE4}"/>
    <hyperlink ref="J13" r:id="rId7" xr:uid="{DD456A23-8D02-4081-AB25-8BF57E41B876}"/>
    <hyperlink ref="J24" r:id="rId8" xr:uid="{CFD6B4D5-70B1-4F40-9D7E-DADCDB8159EF}"/>
    <hyperlink ref="J11" r:id="rId9" xr:uid="{1CEFA76B-E433-4B0A-920A-98C77D3D42A9}"/>
    <hyperlink ref="J10" r:id="rId10" xr:uid="{0F9D5755-19ED-4999-964D-62ADBA04B687}"/>
    <hyperlink ref="J36" r:id="rId11" xr:uid="{B07B500C-7945-4B04-86B6-349DA8F971C8}"/>
    <hyperlink ref="J37" r:id="rId12" xr:uid="{53DCA98F-5C9D-4E30-A6C1-AED98AA9DFF8}"/>
    <hyperlink ref="J38" r:id="rId13" xr:uid="{8764CB5D-433E-4B05-94BB-662A4B42F299}"/>
    <hyperlink ref="J26" r:id="rId14" xr:uid="{3AF4BB90-6F23-4E05-9B3F-77A084738C5C}"/>
    <hyperlink ref="J14" r:id="rId15" xr:uid="{927CB60F-A9F0-45A5-9E9E-B5DDEAAC6E1E}"/>
    <hyperlink ref="J41" r:id="rId16" xr:uid="{8C580130-B48A-43BC-9250-A1EC9E3AD7B6}"/>
  </hyperlinks>
  <pageMargins left="0.7" right="0.7" top="0.75" bottom="0.75" header="0.3" footer="0.3"/>
  <pageSetup orientation="portrait" r:id="rId17"/>
  <drawing r:id="rId18"/>
  <tableParts count="1">
    <tablePart r:id="rId1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J58"/>
  <sheetViews>
    <sheetView showGridLines="0" tabSelected="1" topLeftCell="A9" workbookViewId="0">
      <selection activeCell="F23" sqref="F23"/>
    </sheetView>
  </sheetViews>
  <sheetFormatPr defaultRowHeight="15" customHeight="1"/>
  <cols>
    <col min="1" max="1" width="5.28515625" customWidth="1"/>
    <col min="2" max="2" width="44.5703125" bestFit="1" customWidth="1"/>
    <col min="3" max="3" width="3.5703125" bestFit="1" customWidth="1"/>
    <col min="4" max="4" width="12.5703125" bestFit="1" customWidth="1"/>
    <col min="5" max="5" width="15.7109375" bestFit="1" customWidth="1"/>
    <col min="6" max="7" width="11.7109375" customWidth="1"/>
    <col min="8" max="8" width="8.7109375" customWidth="1"/>
    <col min="9" max="9" width="11.42578125" bestFit="1" customWidth="1"/>
    <col min="10" max="10" width="8.7109375" bestFit="1" customWidth="1"/>
    <col min="11" max="11" width="10.42578125" customWidth="1"/>
    <col min="12" max="12" width="10.42578125" bestFit="1" customWidth="1"/>
    <col min="13" max="13" width="13.28515625" customWidth="1"/>
    <col min="15" max="15" width="11.42578125" bestFit="1" customWidth="1"/>
    <col min="17" max="17" width="11.5703125" customWidth="1"/>
    <col min="19" max="19" width="11.42578125" bestFit="1" customWidth="1"/>
    <col min="21" max="21" width="12.28515625" customWidth="1"/>
    <col min="23" max="23" width="11.5703125" customWidth="1"/>
    <col min="25" max="25" width="12.28515625" customWidth="1"/>
    <col min="27" max="27" width="11.7109375" customWidth="1"/>
    <col min="29" max="29" width="12.7109375" customWidth="1"/>
    <col min="31" max="31" width="11.42578125" bestFit="1" customWidth="1"/>
    <col min="33" max="33" width="11.42578125" bestFit="1" customWidth="1"/>
    <col min="35" max="35" width="11.42578125" bestFit="1" customWidth="1"/>
    <col min="37" max="37" width="11.42578125" bestFit="1" customWidth="1"/>
    <col min="39" max="39" width="11.42578125" bestFit="1" customWidth="1"/>
    <col min="41" max="41" width="11.42578125" bestFit="1" customWidth="1"/>
    <col min="43" max="43" width="11.42578125" bestFit="1" customWidth="1"/>
    <col min="45" max="45" width="11.42578125" bestFit="1" customWidth="1"/>
    <col min="47" max="47" width="11.42578125" bestFit="1" customWidth="1"/>
    <col min="49" max="49" width="87.28515625" bestFit="1" customWidth="1"/>
    <col min="52" max="54" width="7.5703125" bestFit="1" customWidth="1"/>
    <col min="55" max="55" width="16.28515625" bestFit="1" customWidth="1"/>
    <col min="56" max="56" width="1.5703125" bestFit="1" customWidth="1"/>
    <col min="57" max="57" width="11.42578125" bestFit="1" customWidth="1"/>
    <col min="58" max="58" width="9.7109375" bestFit="1" customWidth="1"/>
    <col min="59" max="59" width="9.42578125" bestFit="1" customWidth="1"/>
    <col min="60" max="60" width="12.28515625" bestFit="1" customWidth="1"/>
    <col min="61" max="61" width="13.42578125" bestFit="1" customWidth="1"/>
    <col min="62" max="62" width="9.28515625" bestFit="1" customWidth="1"/>
  </cols>
  <sheetData>
    <row r="1" spans="1:62" s="146" customFormat="1" ht="15" customHeight="1"/>
    <row r="2" spans="1:62" s="146" customFormat="1" ht="15" customHeight="1"/>
    <row r="3" spans="1:62" s="146" customFormat="1" ht="15" customHeight="1"/>
    <row r="4" spans="1:62" ht="14.45">
      <c r="B4" s="178" t="s">
        <v>26</v>
      </c>
      <c r="D4" s="1" t="s">
        <v>498</v>
      </c>
      <c r="I4">
        <v>2</v>
      </c>
      <c r="K4">
        <v>3.5</v>
      </c>
      <c r="M4">
        <v>1.5</v>
      </c>
      <c r="O4">
        <f>N5/8</f>
        <v>2.5</v>
      </c>
      <c r="Q4">
        <f>R5/8</f>
        <v>1.25</v>
      </c>
      <c r="S4">
        <f>V5/8</f>
        <v>1.75</v>
      </c>
      <c r="U4">
        <f>Z5/8</f>
        <v>2</v>
      </c>
      <c r="W4">
        <f>AD5/8</f>
        <v>2.5</v>
      </c>
      <c r="Y4">
        <f>AH5/8</f>
        <v>1</v>
      </c>
      <c r="AA4">
        <f>AN5/8</f>
        <v>4</v>
      </c>
      <c r="AC4">
        <f>AP5/8</f>
        <v>1</v>
      </c>
      <c r="AE4">
        <f>AD5/8</f>
        <v>2.5</v>
      </c>
      <c r="AG4">
        <f t="shared" ref="AG4" si="0">AG5/8</f>
        <v>2</v>
      </c>
      <c r="AI4">
        <f>AH5/8</f>
        <v>1</v>
      </c>
      <c r="AK4">
        <f>AJ5/8</f>
        <v>3</v>
      </c>
      <c r="AM4">
        <f>AL5/8</f>
        <v>7.5</v>
      </c>
      <c r="AO4">
        <f>AN5/8</f>
        <v>4</v>
      </c>
      <c r="AQ4">
        <f>AP5/8</f>
        <v>1</v>
      </c>
      <c r="AS4">
        <f>AR5/8</f>
        <v>2.25</v>
      </c>
      <c r="AU4">
        <f>AT5/8</f>
        <v>7.5</v>
      </c>
      <c r="AV4" s="179"/>
      <c r="AW4" s="179"/>
    </row>
    <row r="5" spans="1:62" s="2" customFormat="1" ht="14.45">
      <c r="B5" s="178"/>
      <c r="D5" s="72" t="s">
        <v>39</v>
      </c>
      <c r="H5" s="69"/>
      <c r="I5" s="69"/>
      <c r="J5" s="69"/>
      <c r="K5" s="70">
        <v>28</v>
      </c>
      <c r="L5" s="70"/>
      <c r="M5" s="70">
        <v>12</v>
      </c>
      <c r="N5" s="171">
        <v>20</v>
      </c>
      <c r="O5" s="171"/>
      <c r="P5" s="171">
        <v>10</v>
      </c>
      <c r="Q5" s="171"/>
      <c r="R5" s="171">
        <v>10</v>
      </c>
      <c r="S5" s="171"/>
      <c r="T5" s="171">
        <v>14</v>
      </c>
      <c r="U5" s="171"/>
      <c r="V5" s="171">
        <v>14</v>
      </c>
      <c r="W5" s="171"/>
      <c r="X5" s="171">
        <v>15</v>
      </c>
      <c r="Y5" s="171"/>
      <c r="Z5" s="171">
        <v>16</v>
      </c>
      <c r="AA5" s="171"/>
      <c r="AB5" s="171">
        <v>13</v>
      </c>
      <c r="AC5" s="171"/>
      <c r="AD5" s="171">
        <v>20</v>
      </c>
      <c r="AE5" s="171"/>
      <c r="AF5" s="69"/>
      <c r="AG5" s="41">
        <v>16</v>
      </c>
      <c r="AH5" s="171">
        <v>8</v>
      </c>
      <c r="AI5" s="171"/>
      <c r="AJ5" s="171">
        <v>24</v>
      </c>
      <c r="AK5" s="171"/>
      <c r="AL5" s="171">
        <v>60</v>
      </c>
      <c r="AM5" s="171"/>
      <c r="AN5" s="171">
        <v>32</v>
      </c>
      <c r="AO5" s="171"/>
      <c r="AP5" s="171">
        <v>8</v>
      </c>
      <c r="AQ5" s="171"/>
      <c r="AR5" s="176">
        <v>18</v>
      </c>
      <c r="AS5" s="176"/>
      <c r="AT5" s="171">
        <v>60</v>
      </c>
      <c r="AU5" s="171"/>
      <c r="AV5" s="177"/>
      <c r="AW5" s="177"/>
      <c r="AZ5" s="174"/>
      <c r="BA5" s="174"/>
      <c r="BB5" s="174"/>
      <c r="BC5" s="174"/>
      <c r="BD5" s="174"/>
      <c r="BE5" s="174"/>
      <c r="BF5" s="174"/>
      <c r="BG5" s="174"/>
      <c r="BH5" s="174"/>
      <c r="BI5" s="174"/>
      <c r="BJ5" s="174"/>
    </row>
    <row r="6" spans="1:62" ht="15.6">
      <c r="B6" s="178"/>
      <c r="D6" s="1" t="s">
        <v>499</v>
      </c>
      <c r="H6" s="175" t="s">
        <v>500</v>
      </c>
      <c r="I6" s="175"/>
      <c r="J6" s="175" t="s">
        <v>501</v>
      </c>
      <c r="K6" s="175"/>
      <c r="L6" s="175" t="s">
        <v>502</v>
      </c>
      <c r="M6" s="175"/>
      <c r="N6" s="171" t="s">
        <v>52</v>
      </c>
      <c r="O6" s="171"/>
      <c r="P6" s="171" t="s">
        <v>503</v>
      </c>
      <c r="Q6" s="171"/>
      <c r="R6" s="171" t="s">
        <v>167</v>
      </c>
      <c r="S6" s="171"/>
      <c r="T6" s="171" t="s">
        <v>208</v>
      </c>
      <c r="U6" s="171"/>
      <c r="V6" s="171" t="s">
        <v>234</v>
      </c>
      <c r="W6" s="171"/>
      <c r="X6" s="171" t="s">
        <v>269</v>
      </c>
      <c r="Y6" s="171"/>
      <c r="Z6" s="171" t="s">
        <v>309</v>
      </c>
      <c r="AA6" s="171"/>
      <c r="AB6" s="171" t="s">
        <v>311</v>
      </c>
      <c r="AC6" s="171"/>
      <c r="AD6" s="171" t="s">
        <v>332</v>
      </c>
      <c r="AE6" s="171"/>
      <c r="AF6" s="171" t="s">
        <v>364</v>
      </c>
      <c r="AG6" s="171"/>
      <c r="AH6" s="171" t="s">
        <v>366</v>
      </c>
      <c r="AI6" s="171"/>
      <c r="AJ6" s="171" t="s">
        <v>385</v>
      </c>
      <c r="AK6" s="171"/>
      <c r="AL6" s="171" t="s">
        <v>387</v>
      </c>
      <c r="AM6" s="171"/>
      <c r="AN6" s="171" t="s">
        <v>462</v>
      </c>
      <c r="AO6" s="171"/>
      <c r="AP6" s="171" t="s">
        <v>464</v>
      </c>
      <c r="AQ6" s="171"/>
      <c r="AR6" s="171" t="s">
        <v>485</v>
      </c>
      <c r="AS6" s="171"/>
      <c r="AT6" s="180" t="s">
        <v>487</v>
      </c>
      <c r="AU6" s="180"/>
      <c r="AV6" s="71"/>
      <c r="AW6" s="4"/>
      <c r="AZ6" s="5"/>
      <c r="BA6" s="5"/>
      <c r="BB6" s="5"/>
      <c r="BC6" s="5"/>
      <c r="BD6" s="5"/>
      <c r="BE6" s="5"/>
      <c r="BF6" s="5"/>
      <c r="BG6" s="5"/>
      <c r="BH6" s="5"/>
      <c r="BI6" s="5"/>
      <c r="BJ6" s="5"/>
    </row>
    <row r="7" spans="1:62" ht="14.45">
      <c r="D7" s="72" t="s">
        <v>504</v>
      </c>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6"/>
    </row>
    <row r="8" spans="1:62" s="7" customFormat="1" ht="15.6" customHeight="1">
      <c r="C8" s="87" t="s">
        <v>505</v>
      </c>
      <c r="D8" s="85" t="e">
        <f>SUM(IF(N8="x",$R$5,0)+IF(P8="x",$V$5,0)+IF(R8="x",$AD$5,0)+IF(U8="x",$AN$5,0)+IF(V8="x",#REF!,0)+IF(Y8="x",#REF!,0)+IF(Z8="x",#REF!,0)+IF(AB8="x",#REF!,0)+IF(AD8="x",#REF!,0)+IF(AF8="x",#REF!,0)+IF(AI8="x",#REF!,0)+IF(AK8="x",#REF!,0)+IF(AM8="x",#REF!,0)+IF(AO8="x",#REF!,0)+IF(AQ8="x",#REF!,0)+IF(AS8="x",#REF!,0)+IF(AU8="x",#REF!,0)+IF(AV8="x",#REF!,0)+IF(AW8="x",$AV$5,0))</f>
        <v>#REF!</v>
      </c>
      <c r="E8" s="86"/>
      <c r="F8" s="86"/>
      <c r="G8" s="86"/>
      <c r="H8" s="170" t="s">
        <v>51</v>
      </c>
      <c r="I8" s="170"/>
      <c r="J8" s="170" t="s">
        <v>51</v>
      </c>
      <c r="K8" s="170"/>
      <c r="L8" s="170" t="s">
        <v>51</v>
      </c>
      <c r="M8" s="170"/>
      <c r="N8" s="169" t="s">
        <v>51</v>
      </c>
      <c r="O8" s="169"/>
      <c r="P8" s="169"/>
      <c r="Q8" s="169"/>
      <c r="R8" s="169" t="s">
        <v>51</v>
      </c>
      <c r="S8" s="169"/>
      <c r="T8" s="169"/>
      <c r="U8" s="169"/>
      <c r="V8" s="169" t="s">
        <v>51</v>
      </c>
      <c r="W8" s="169"/>
      <c r="X8" s="169" t="s">
        <v>51</v>
      </c>
      <c r="Y8" s="169"/>
      <c r="Z8" s="169" t="s">
        <v>51</v>
      </c>
      <c r="AA8" s="169"/>
      <c r="AB8" s="169" t="s">
        <v>51</v>
      </c>
      <c r="AC8" s="169"/>
      <c r="AD8" s="169" t="s">
        <v>51</v>
      </c>
      <c r="AE8" s="169"/>
      <c r="AF8" s="169" t="s">
        <v>51</v>
      </c>
      <c r="AG8" s="169"/>
      <c r="AH8" s="169" t="s">
        <v>51</v>
      </c>
      <c r="AI8" s="169"/>
      <c r="AJ8" s="169" t="s">
        <v>51</v>
      </c>
      <c r="AK8" s="169"/>
      <c r="AL8" s="169" t="s">
        <v>51</v>
      </c>
      <c r="AM8" s="169"/>
      <c r="AN8" s="169" t="s">
        <v>51</v>
      </c>
      <c r="AO8" s="169"/>
      <c r="AP8" s="169" t="s">
        <v>51</v>
      </c>
      <c r="AQ8" s="169"/>
      <c r="AR8" s="169" t="s">
        <v>51</v>
      </c>
      <c r="AS8" s="169"/>
      <c r="AT8" s="169"/>
      <c r="AU8" s="169"/>
      <c r="AV8" s="172"/>
      <c r="AW8" s="173"/>
      <c r="AX8"/>
      <c r="AY8"/>
    </row>
    <row r="9" spans="1:62" s="7" customFormat="1" ht="15.6">
      <c r="C9" s="87" t="s">
        <v>506</v>
      </c>
      <c r="D9" s="85" t="e">
        <f>SUM(IF(N9="x",$R$5,0)+IF(P9="x",$V$5,0)+IF(R9="x",$AD$5,0)+IF(U9="x",$AN$5,0)+IF(V9="x",#REF!,0)+IF(Y9="x",#REF!,0)+IF(Z9="x",#REF!,0)+IF(AB9="x",#REF!,0)+IF(AD9="x",#REF!,0)+IF(AF9="x",#REF!,0)+IF(AH9="x",#REF!,0)+IF(AK9="x",#REF!,0)+IF(AM9="x",#REF!,0)+IF(AO9="x",#REF!,0)+IF(AQ9="x",#REF!,0)+IF(AS9="x",#REF!,0)+IF(AU9="x",#REF!,0)+IF(AV9="x",#REF!,0)+IF(AW9="x",$AV$5,0))</f>
        <v>#REF!</v>
      </c>
      <c r="E9" s="86"/>
      <c r="F9" s="86"/>
      <c r="G9" s="86"/>
      <c r="H9" s="170" t="s">
        <v>51</v>
      </c>
      <c r="I9" s="170"/>
      <c r="J9" s="170" t="s">
        <v>51</v>
      </c>
      <c r="K9" s="170"/>
      <c r="L9" s="170" t="s">
        <v>51</v>
      </c>
      <c r="M9" s="170"/>
      <c r="N9" s="169" t="s">
        <v>51</v>
      </c>
      <c r="O9" s="169"/>
      <c r="P9" s="169"/>
      <c r="Q9" s="169"/>
      <c r="R9" s="169" t="s">
        <v>51</v>
      </c>
      <c r="S9" s="169"/>
      <c r="T9" s="169"/>
      <c r="U9" s="169"/>
      <c r="V9" s="169"/>
      <c r="W9" s="169"/>
      <c r="X9" s="169" t="s">
        <v>51</v>
      </c>
      <c r="Y9" s="169"/>
      <c r="Z9" s="169" t="s">
        <v>51</v>
      </c>
      <c r="AA9" s="169"/>
      <c r="AB9" s="169" t="s">
        <v>51</v>
      </c>
      <c r="AC9" s="169"/>
      <c r="AD9" s="169" t="s">
        <v>51</v>
      </c>
      <c r="AE9" s="169"/>
      <c r="AF9" s="169" t="s">
        <v>51</v>
      </c>
      <c r="AG9" s="169"/>
      <c r="AH9" s="169" t="s">
        <v>51</v>
      </c>
      <c r="AI9" s="169"/>
      <c r="AJ9" s="169" t="s">
        <v>51</v>
      </c>
      <c r="AK9" s="169"/>
      <c r="AL9" s="169" t="s">
        <v>51</v>
      </c>
      <c r="AM9" s="169"/>
      <c r="AN9" s="169" t="s">
        <v>51</v>
      </c>
      <c r="AO9" s="169"/>
      <c r="AP9" s="169" t="s">
        <v>51</v>
      </c>
      <c r="AQ9" s="169"/>
      <c r="AR9" s="169" t="s">
        <v>51</v>
      </c>
      <c r="AS9" s="169"/>
      <c r="AT9" s="169"/>
      <c r="AU9" s="169"/>
      <c r="AV9" s="167"/>
      <c r="AW9" s="168"/>
      <c r="AX9"/>
      <c r="AY9"/>
    </row>
    <row r="10" spans="1:62" s="7" customFormat="1" ht="15.6">
      <c r="C10" s="87" t="s">
        <v>32</v>
      </c>
      <c r="D10" s="85" t="e">
        <f>SUM(IF(O10="x",$R$5,0)+IF(Q10="x",$V$5,0)+IF(S10="x",$AD$5,0)+IF(U10="x",$AN$5,0)+IF(W10="x",#REF!,0)+IF(Y10="x",#REF!,0)+IF(Z10="x",#REF!,0)+IF(AB10="x",#REF!,0)+IF(AD10="x",#REF!,0)+IF(AF10="x",#REF!,0)+IF(AH10="x",#REF!,0)+IF(AJ10="x",#REF!,0)+IF(AL10="x",#REF!,0)+IF(AN10="x",#REF!,0)+IF(AP10="x",#REF!,0)+IF(AR10="x",#REF!,0)+IF(AU10="x",#REF!,0)+IF(AV10="x",#REF!,0)+IF(AW10="x",$AV$5,0))</f>
        <v>#REF!</v>
      </c>
      <c r="E10" s="86"/>
      <c r="F10" s="86"/>
      <c r="G10" s="86"/>
      <c r="H10" s="170" t="s">
        <v>51</v>
      </c>
      <c r="I10" s="170"/>
      <c r="J10" s="170" t="s">
        <v>51</v>
      </c>
      <c r="K10" s="170"/>
      <c r="L10" s="170" t="s">
        <v>51</v>
      </c>
      <c r="M10" s="170"/>
      <c r="N10" s="192"/>
      <c r="O10" s="192"/>
      <c r="P10" s="169" t="s">
        <v>51</v>
      </c>
      <c r="Q10" s="169"/>
      <c r="R10" s="169"/>
      <c r="S10" s="169"/>
      <c r="T10" s="169" t="s">
        <v>51</v>
      </c>
      <c r="U10" s="169"/>
      <c r="V10" s="169"/>
      <c r="W10" s="169"/>
      <c r="X10" s="169" t="s">
        <v>51</v>
      </c>
      <c r="Y10" s="169"/>
      <c r="Z10" s="169" t="s">
        <v>51</v>
      </c>
      <c r="AA10" s="169"/>
      <c r="AB10" s="169"/>
      <c r="AC10" s="169"/>
      <c r="AD10" s="169" t="s">
        <v>51</v>
      </c>
      <c r="AE10" s="169"/>
      <c r="AF10" s="169" t="s">
        <v>51</v>
      </c>
      <c r="AG10" s="169"/>
      <c r="AH10" s="169" t="s">
        <v>51</v>
      </c>
      <c r="AI10" s="169"/>
      <c r="AJ10" s="169" t="s">
        <v>51</v>
      </c>
      <c r="AK10" s="169"/>
      <c r="AL10" s="169" t="s">
        <v>51</v>
      </c>
      <c r="AM10" s="169"/>
      <c r="AN10" s="169" t="s">
        <v>51</v>
      </c>
      <c r="AO10" s="169"/>
      <c r="AP10" s="169" t="s">
        <v>51</v>
      </c>
      <c r="AQ10" s="169"/>
      <c r="AR10" s="169" t="s">
        <v>51</v>
      </c>
      <c r="AS10" s="169"/>
      <c r="AT10" s="169" t="s">
        <v>51</v>
      </c>
      <c r="AU10" s="169"/>
      <c r="AV10" s="167"/>
      <c r="AW10" s="168"/>
      <c r="AX10"/>
      <c r="AY10"/>
    </row>
    <row r="11" spans="1:62" s="7" customFormat="1" ht="15.6">
      <c r="C11" s="87" t="s">
        <v>33</v>
      </c>
      <c r="D11" s="85" t="e">
        <f>SUM(IF(O11="x",$R$5,0)+IF(Q11="x",$V$5,0)+IF(S11="x",$AD$5,0)+IF(U11="x",$AN$5,0)+IF(W11="x",#REF!,0)+IF(Y11="x",#REF!,0)+IF(Z11="x",#REF!,0)+IF(AB11="x",#REF!,0)+IF(AD11="x",#REF!,0)+IF(AF11="x",#REF!,0)+IF(AH11="x",#REF!,0)+IF(AJ11="x",#REF!,0)+IF(AL11="x",#REF!,0)+IF(AN11="x",#REF!,0)+IF(AP11="x",#REF!,0)+IF(AR11="x",#REF!,0)+IF(AU11="x",#REF!,0)+IF(AV11="x",#REF!,0)+IF(AW11="x",$AV$5,0))</f>
        <v>#REF!</v>
      </c>
      <c r="E11" s="86"/>
      <c r="F11" s="86"/>
      <c r="G11" s="86"/>
      <c r="H11" s="170" t="s">
        <v>51</v>
      </c>
      <c r="I11" s="170"/>
      <c r="J11" s="170" t="s">
        <v>51</v>
      </c>
      <c r="K11" s="170"/>
      <c r="L11" s="170" t="s">
        <v>51</v>
      </c>
      <c r="M11" s="170"/>
      <c r="N11" s="170"/>
      <c r="O11" s="170"/>
      <c r="P11" s="169" t="s">
        <v>51</v>
      </c>
      <c r="Q11" s="169"/>
      <c r="R11" s="169"/>
      <c r="S11" s="169"/>
      <c r="T11" s="169" t="s">
        <v>51</v>
      </c>
      <c r="U11" s="169"/>
      <c r="V11" s="169"/>
      <c r="W11" s="169"/>
      <c r="X11" s="169" t="s">
        <v>51</v>
      </c>
      <c r="Y11" s="169"/>
      <c r="Z11" s="169" t="s">
        <v>51</v>
      </c>
      <c r="AA11" s="169"/>
      <c r="AB11" s="169"/>
      <c r="AC11" s="169"/>
      <c r="AD11" s="169" t="s">
        <v>51</v>
      </c>
      <c r="AE11" s="169"/>
      <c r="AF11" s="169" t="s">
        <v>51</v>
      </c>
      <c r="AG11" s="169"/>
      <c r="AH11" s="169"/>
      <c r="AI11" s="169"/>
      <c r="AJ11" s="169" t="s">
        <v>51</v>
      </c>
      <c r="AK11" s="169"/>
      <c r="AL11" s="169" t="s">
        <v>51</v>
      </c>
      <c r="AM11" s="169"/>
      <c r="AN11" s="169" t="s">
        <v>51</v>
      </c>
      <c r="AO11" s="169"/>
      <c r="AP11" s="169" t="s">
        <v>51</v>
      </c>
      <c r="AQ11" s="169"/>
      <c r="AR11" s="169" t="s">
        <v>51</v>
      </c>
      <c r="AS11" s="169"/>
      <c r="AT11" s="169" t="s">
        <v>51</v>
      </c>
      <c r="AU11" s="169"/>
      <c r="AV11" s="167"/>
      <c r="AW11" s="168"/>
      <c r="AX11"/>
      <c r="AY11"/>
    </row>
    <row r="12" spans="1:62" ht="14.45">
      <c r="C12" t="s">
        <v>507</v>
      </c>
      <c r="D12" s="8" t="s">
        <v>508</v>
      </c>
      <c r="E12" s="8" t="s">
        <v>509</v>
      </c>
      <c r="F12" s="8" t="s">
        <v>510</v>
      </c>
      <c r="G12" s="8"/>
      <c r="H12" s="8" t="s">
        <v>511</v>
      </c>
      <c r="I12" s="8" t="s">
        <v>94</v>
      </c>
      <c r="J12" s="8" t="s">
        <v>511</v>
      </c>
      <c r="K12" s="8" t="s">
        <v>94</v>
      </c>
      <c r="L12" s="8" t="s">
        <v>511</v>
      </c>
      <c r="M12" s="8" t="s">
        <v>94</v>
      </c>
      <c r="N12" s="8" t="s">
        <v>511</v>
      </c>
      <c r="O12" s="8" t="s">
        <v>94</v>
      </c>
      <c r="P12" s="8" t="s">
        <v>511</v>
      </c>
      <c r="Q12" s="8" t="s">
        <v>94</v>
      </c>
      <c r="R12" s="8" t="s">
        <v>511</v>
      </c>
      <c r="S12" s="8" t="s">
        <v>94</v>
      </c>
      <c r="T12" s="8" t="s">
        <v>511</v>
      </c>
      <c r="U12" s="8" t="s">
        <v>94</v>
      </c>
      <c r="V12" s="8" t="s">
        <v>511</v>
      </c>
      <c r="W12" s="8" t="s">
        <v>94</v>
      </c>
      <c r="X12" s="8" t="s">
        <v>511</v>
      </c>
      <c r="Y12" s="8" t="s">
        <v>94</v>
      </c>
      <c r="Z12" s="8" t="s">
        <v>511</v>
      </c>
      <c r="AA12" s="8" t="s">
        <v>94</v>
      </c>
      <c r="AB12" s="8" t="s">
        <v>511</v>
      </c>
      <c r="AC12" s="8" t="s">
        <v>94</v>
      </c>
      <c r="AD12" s="8"/>
    </row>
    <row r="13" spans="1:62" s="15" customFormat="1" ht="18">
      <c r="B13" s="9" t="s">
        <v>512</v>
      </c>
      <c r="C13" s="10"/>
      <c r="D13" s="11" t="s">
        <v>513</v>
      </c>
      <c r="E13" s="11"/>
      <c r="F13" s="11"/>
      <c r="G13" s="11"/>
      <c r="H13" s="11"/>
      <c r="I13" s="11"/>
      <c r="J13" s="11"/>
      <c r="K13" s="11"/>
      <c r="L13" s="11"/>
      <c r="M13" s="11"/>
      <c r="N13" s="12"/>
      <c r="O13" s="13"/>
      <c r="P13" s="14"/>
      <c r="Q13" s="13"/>
      <c r="R13" s="13"/>
      <c r="S13" s="13"/>
      <c r="T13" s="14"/>
      <c r="U13" s="13"/>
      <c r="V13" s="14"/>
      <c r="W13" s="13"/>
      <c r="X13" s="14"/>
      <c r="Y13" s="13"/>
      <c r="Z13" s="14"/>
      <c r="AA13" s="13"/>
      <c r="AB13" s="14"/>
      <c r="AC13" s="13"/>
      <c r="AD13" s="14"/>
      <c r="AE13" s="13"/>
      <c r="AF13" s="14"/>
      <c r="AG13" s="13"/>
      <c r="AH13" s="14"/>
      <c r="AI13" s="13"/>
      <c r="AJ13" s="14"/>
      <c r="AK13" s="13"/>
      <c r="AL13" s="14"/>
      <c r="AM13" s="13"/>
      <c r="AN13" s="14"/>
      <c r="AO13" s="13"/>
      <c r="AP13" s="14"/>
      <c r="AQ13" s="13"/>
      <c r="AR13" s="14"/>
      <c r="AS13" s="13"/>
      <c r="AT13" s="14"/>
      <c r="AU13" s="13"/>
      <c r="AV13" s="14"/>
      <c r="AW13" s="14"/>
    </row>
    <row r="14" spans="1:62" s="15" customFormat="1" ht="15.6">
      <c r="A14" s="77" t="s">
        <v>8</v>
      </c>
      <c r="B14" s="145" t="s">
        <v>514</v>
      </c>
      <c r="C14" s="16" t="s">
        <v>515</v>
      </c>
      <c r="D14" s="17">
        <v>44928</v>
      </c>
      <c r="E14" s="127">
        <v>44993</v>
      </c>
      <c r="F14" s="127">
        <f>MAX(I14:AAB14)</f>
        <v>45041</v>
      </c>
      <c r="G14" s="17"/>
      <c r="H14" s="17"/>
      <c r="I14" s="17">
        <f>IF((($C14=$C$8)*($H$8="x"))+(($C14=$C$9)*($H$9="x"))+(($C14=$C$10)*($H$10="x"))+(($C14=$C$11)*($H$11="x")), WORKDAY.INTL(D14,SUM($I$4,H14),1,holidays!A$4:A$1503),D14)</f>
        <v>44930</v>
      </c>
      <c r="J14" s="17"/>
      <c r="K14" s="17" cm="1">
        <f t="array" ref="K14">IF((($C14=$C$8)*($J$8:$J$8="x"))+(($C14=$C$9)*($J$9:$J$9="x"))+(($C14=$C$10)*($J$10:$J$10="x"))+(($C14=$C$11)*($J$11:$J$11="x")), WORKDAY.INTL(I14,SUM($K$4,J14),1,holidays!A$4:A$1503),I14)</f>
        <v>44936</v>
      </c>
      <c r="L14" s="17"/>
      <c r="M14" s="17">
        <f>IF((($C14=$C$8)*($L$8="x"))+(($C14=$C$9)*($L$9="x"))+(($C14=$C$10)*($L$10="x"))+(($C14=$C$11)*($L$11="x")), WORKDAY.INTL(K14,SUM($M$4,L14),1,holidays!A$4:A$1503),K14)</f>
        <v>44937</v>
      </c>
      <c r="O14" s="18">
        <f>IF((($C14=$C$8)*($N$8="x"))+(($C14=$C$9)*($N$9="x"))+(($C14=$C$10)*($N$10="x"))+(($C14=$C$11)*($N$11="x")), WORKDAY.INTL(IF($A14="N",$M14,$E14),SUM($O$4,N14),1,holidays!A$4:A$1503),IF($A14="N",$M14,$E14))</f>
        <v>44995</v>
      </c>
      <c r="Q14" s="18">
        <f>IF((($C14=$C$8)*($P$8="x"))+(($C14=$C$9)*($P$9="x"))+(($C14=$C$10)*($P$10="x"))+(($C14=$C$11)*($P$11="x")), WORKDAY.INTL(O14,SUM($Q$4,P14),1,holidays!A$4:A$1503),O14)</f>
        <v>44995</v>
      </c>
      <c r="S14" s="18">
        <f>IF((($C14=$C$8)*($R$8="x"))+(($C14=$C$9)*($R$9="x"))+(($C14=$C$10)*($R$10="x"))+(($C14=$C$11)*($R$11="x")), WORKDAY.INTL(Q14,SUM($S$4,R14),1,holidays!A$4:A$1503),Q14)</f>
        <v>44998</v>
      </c>
      <c r="U14" s="18">
        <f>IF((($C14=$C$8)*($T$8="x"))+(($C14=$C$9)*($T$9="x"))+(($C14=$C$10)*($T$10="x"))+(($C14=$C$11)*($T$11="x")), WORKDAY.INTL(S14,SUM($U$4,T14),1,holidays!A$4:A$1503),S14)</f>
        <v>44998</v>
      </c>
      <c r="W14" s="18">
        <f>IF((($C14=$C$8)*($V$8="x"))+(($C14=$C$9)*($V$9="x"))+(($C14=$C$10)*($V$10="x"))+(($C14=$C$11)*($V$11="x")), WORKDAY.INTL(U14,SUM($W$4,V14),1,holidays!A$4:A$1503),U14)</f>
        <v>45000</v>
      </c>
      <c r="Y14" s="18">
        <f>IF((($C14=$C$8)*($X$8="x"))+(($C14=$C$9)*($X$9="x"))+(($C14=$C$10)*($X$10="x"))+(($C14=$C$11)*($X$11="x")), WORKDAY.INTL(W14,SUM($Y$4,X14),1,holidays!A$4:A$1503),W14)</f>
        <v>45001</v>
      </c>
      <c r="AA14" s="18">
        <f>IF((($C14=$C$8)*($Z$8="x"))+(($C14=$C$9)*($Z$9="x"))+(($C14=$C$10)*($Z$10="x"))+(($C14=$C$11)*($Z$11="x")), WORKDAY.INTL(Y14,SUM($AA$4,Z14),1,holidays!A$4:A$1503),Y14)</f>
        <v>45008</v>
      </c>
      <c r="AB14" s="18"/>
      <c r="AC14" s="18">
        <f>IF((($C14=$C$8)*($AB$8="x"))+(($C14=$C$9)*($AB$9="x"))+(($C14=$C$10)*($AB$10="x"))+(($C14=$C$11)*($AB$11="x")), WORKDAY.INTL(AA14,SUM($AC$4,AB14),1,holidays!A$4:A$1503),AA14)</f>
        <v>45009</v>
      </c>
      <c r="AE14" s="18">
        <f>IF((($C14=$C$8)*($AD$8="x"))+(($C14=$C$9)*($AD$9="x"))+(($C14=$C$10)*($AD$10="x"))+(($C14=$C$11)*($AD$11="x")), WORKDAY.INTL(AC14,SUM($AE$4,AD14),1,holidays!A$4:A$1503),AC14)</f>
        <v>45013</v>
      </c>
      <c r="AG14" s="18">
        <f>IF((($C14=$C$8)*($AF$8="x"))+(($C14=$C$9)*($AF$9="x"))+(($C14=$C$10)*($AF$10="x"))+(($C14=$C$11)*($AF$11="x")), WORKDAY.INTL(AE14,SUM($AG$4,AF14),1,holidays!A$4:A$1503),AE14)</f>
        <v>45015</v>
      </c>
      <c r="AI14" s="18">
        <f>IF((($C14=$C$8)*($AH$8="x"))+(($C14=$C$9)*($AH$9="x"))+(($C14=$C$10)*($AH$10="x"))+(($C14=$C$11)*($AH$11="x")), WORKDAY.INTL(AG14,SUM($AI$4,AH14),1,holidays!A$4:A$1503),AG14)</f>
        <v>45016</v>
      </c>
      <c r="AK14" s="18">
        <f>IF((($C14=$C$8)*($AJ$8="x"))+(($C14=$C$9)*($AJ$9="x"))+(($C14=$C$10)*($AJ$10="x"))+(($C14=$C$11)*($AJ$11="x")), WORKDAY.INTL(AI14,SUM($AK$4,AJ14),1,holidays!A$4:A$1503),AI14)</f>
        <v>45021</v>
      </c>
      <c r="AM14" s="18">
        <f>IF((($C14=$C$8)*($AL$8="x"))+(($C14=$C$9)*($AL$9="x"))+(($C14=$C$10)*($AL$10="x"))+(($C14=$C$11)*($AL$11="x")), WORKDAY.INTL(AK14,SUM($AM$4,AL14),1,holidays!A$4:A$1503),AK14)</f>
        <v>45030</v>
      </c>
      <c r="AO14" s="18">
        <f>IF((($C14=$C$8)*($AN$8="x"))+(($C14=$C$9)*($AN$9="x"))+(($C14=$C$10)*($AN$10="x"))+(($C14=$C$11)*($AN$11="x")), WORKDAY.INTL(AM14,SUM($AO$4,AN14),1,holidays!A$4:A$1503),AM14)</f>
        <v>45036</v>
      </c>
      <c r="AQ14" s="18">
        <f>IF((($C14=$C$8)*($AP$8="x"))+(($C14=$C$9)*($AP$9="x"))+(($C14=$C$10)*($AP$10="x"))+(($C14=$C$11)*($AP$11="x")), WORKDAY.INTL(AO14,SUM($AQ$4,AP14),1,holidays!A$4:A$1503),AO14)</f>
        <v>45037</v>
      </c>
      <c r="AS14" s="18">
        <f>IF((($C14=$C$8)*($AR$8="x"))+(($C14=$C$9)*($AR$9="x"))+(($C14=$C$10)*($AR$10="x"))+(($C14=$C$11)*($AR$11="x")), WORKDAY.INTL(AQ14,SUM($AS$4,AR14),1,holidays!A$4:A$1503),AQ14)</f>
        <v>45041</v>
      </c>
      <c r="AU14" s="18">
        <f>IF((($C14=$C$8)*($AT$8="x"))+(($C14=$C$9)*($AT$9="x"))+(($C14=$C$10)*($AT$10="x"))+(($C14=$C$11)*($AT$11="x")), WORKDAY.INTL(AS14,SUM($AU$4,AT14),1,holidays!A$4:A$1503),AS14)</f>
        <v>45041</v>
      </c>
      <c r="AX14" s="19"/>
    </row>
    <row r="15" spans="1:62" s="15" customFormat="1" ht="15.75">
      <c r="A15" s="15" t="s">
        <v>8</v>
      </c>
      <c r="B15" s="123" t="s">
        <v>516</v>
      </c>
      <c r="C15" s="16" t="s">
        <v>515</v>
      </c>
      <c r="D15" s="17"/>
      <c r="E15" s="127">
        <v>45020</v>
      </c>
      <c r="F15" s="127">
        <f t="shared" ref="F15:F22" si="1">MAX(I15:AAB15)</f>
        <v>45093</v>
      </c>
      <c r="G15" s="17"/>
      <c r="H15" s="17"/>
      <c r="I15" s="17">
        <f>IF((($C15=$C$8)*($H$8="x"))+(($C15=$C$9)*($H$9="x"))+(($C15=$C$10)*($H$10="x"))+(($C15=$C$11)*($H$11="x")), WORKDAY.INTL(D15,SUM($I$4,H15),1,holidays!A$4:A$1503),D15)</f>
        <v>3</v>
      </c>
      <c r="J15" s="17"/>
      <c r="K15" s="17" cm="1">
        <f t="array" ref="K15">IF((($C15=$C$8)*($J$8:$J$8="x"))+(($C15=$C$9)*($J$9:$J$9="x"))+(($C15=$C$10)*($J$10:$J$10="x"))+(($C15=$C$11)*($J$11:$J$11="x")), WORKDAY.INTL(I15,SUM($K$4,J15),1,holidays!A$4:A$1503),I15)</f>
        <v>6</v>
      </c>
      <c r="L15" s="17"/>
      <c r="M15" s="17">
        <f>IF((($C15=$C$8)*($L$8="x"))+(($C15=$C$9)*($L$9="x"))+(($C15=$C$10)*($L$10="x"))+(($C15=$C$11)*($L$11="x")), WORKDAY.INTL(K15,SUM($M$4,L15),1,holidays!A$4:A$1503),K15)</f>
        <v>9</v>
      </c>
      <c r="N15" s="7">
        <v>17</v>
      </c>
      <c r="O15" s="18">
        <f>IF((($C15=$C$8)*($N$8="x"))+(($C15=$C$9)*($N$9="x"))+(($C15=$C$10)*($N$10="x"))+(($C15=$C$11)*($N$11="x")), WORKDAY.INTL(IF($A15="N",$M15,$E15),SUM($O$4,N15),1,holidays!A$4:A$1503),IF($A15="N",$M15,$E15))</f>
        <v>45047</v>
      </c>
      <c r="Q15" s="18">
        <f>IF((($C15=$C$8)*($P$8="x"))+(($C15=$C$9)*($P$9="x"))+(($C15=$C$10)*($P$10="x"))+(($C15=$C$11)*($P$11="x")), WORKDAY.INTL(O15,SUM($Q$4,P15),1,holidays!A$4:A$1503),O15)</f>
        <v>45047</v>
      </c>
      <c r="S15" s="18">
        <f>IF((($C15=$C$8)*($R$8="x"))+(($C15=$C$9)*($R$9="x"))+(($C15=$C$10)*($R$10="x"))+(($C15=$C$11)*($R$11="x")), WORKDAY.INTL(Q15,SUM($S$4,R15),1,holidays!A$4:A$1503),Q15)</f>
        <v>45048</v>
      </c>
      <c r="U15" s="18">
        <f>IF((($C15=$C$8)*($T$8="x"))+(($C15=$C$9)*($T$9="x"))+(($C15=$C$10)*($T$10="x"))+(($C15=$C$11)*($T$11="x")), WORKDAY.INTL(S15,SUM($U$4,T15),1,holidays!A$4:A$1503),S15)</f>
        <v>45048</v>
      </c>
      <c r="V15" s="15">
        <v>1</v>
      </c>
      <c r="W15" s="18">
        <f>IF((($C15=$C$8)*($V$8="x"))+(($C15=$C$9)*($V$9="x"))+(($C15=$C$10)*($V$10="x"))+(($C15=$C$11)*($V$11="x")), WORKDAY.INTL(U15,SUM($W$4,V15),1,holidays!A$4:A$1503),U15)</f>
        <v>45051</v>
      </c>
      <c r="X15" s="15">
        <v>1</v>
      </c>
      <c r="Y15" s="18">
        <f>IF((($C15=$C$8)*($X$8="x"))+(($C15=$C$9)*($X$9="x"))+(($C15=$C$10)*($X$10="x"))+(($C15=$C$11)*($X$11="x")), WORKDAY.INTL(W15,SUM($Y$4,X15),1,holidays!A$4:A$1503),W15)</f>
        <v>45055</v>
      </c>
      <c r="AA15" s="18">
        <f>IF((($C15=$C$8)*($Z$8="x"))+(($C15=$C$9)*($Z$9="x"))+(($C15=$C$10)*($Z$10="x"))+(($C15=$C$11)*($Z$11="x")), WORKDAY.INTL(Y15,SUM($AA$4,Z15),1,holidays!A$4:A$1503),Y15)</f>
        <v>45061</v>
      </c>
      <c r="AC15" s="18">
        <f>IF((($C15=$C$8)*($AB$8="x"))+(($C15=$C$9)*($AB$9="x"))+(($C15=$C$10)*($AB$10="x"))+(($C15=$C$11)*($AB$11="x")), WORKDAY.INTL(AA15,SUM($AC$4,AB15),1,holidays!A$4:A$1503),AA15)</f>
        <v>45062</v>
      </c>
      <c r="AE15" s="18">
        <f>IF((($C15=$C$8)*($AD$8="x"))+(($C15=$C$9)*($AD$9="x"))+(($C15=$C$10)*($AD$10="x"))+(($C15=$C$11)*($AD$11="x")), WORKDAY.INTL(AC15,SUM($AE$4,AD15),1,holidays!A$4:A$1503),AC15)</f>
        <v>45064</v>
      </c>
      <c r="AG15" s="18">
        <f>IF((($C15=$C$8)*($AF$8="x"))+(($C15=$C$9)*($AF$9="x"))+(($C15=$C$10)*($AF$10="x"))+(($C15=$C$11)*($AF$11="x")), WORKDAY.INTL(AE15,SUM($AG$4,AF15),1,holidays!A$4:A$1503),AE15)</f>
        <v>45068</v>
      </c>
      <c r="AI15" s="18">
        <f>IF((($C15=$C$8)*($AH$8="x"))+(($C15=$C$9)*($AH$9="x"))+(($C15=$C$10)*($AH$10="x"))+(($C15=$C$11)*($AH$11="x")), WORKDAY.INTL(AG15,SUM($AI$4,AH15),1,holidays!A$4:A$1503),AG15)</f>
        <v>45069</v>
      </c>
      <c r="AK15" s="18">
        <f>IF((($C15=$C$8)*($AJ$8="x"))+(($C15=$C$9)*($AJ$9="x"))+(($C15=$C$10)*($AJ$10="x"))+(($C15=$C$11)*($AJ$11="x")), WORKDAY.INTL(AI15,SUM($AK$4,AJ15),1,holidays!A$4:A$1503),AI15)</f>
        <v>45072</v>
      </c>
      <c r="AM15" s="18">
        <f>IF((($C15=$C$8)*($AL$8="x"))+(($C15=$C$9)*($AL$9="x"))+(($C15=$C$10)*($AL$10="x"))+(($C15=$C$11)*($AL$11="x")), WORKDAY.INTL(AK15,SUM($AM$4,AL15),1,holidays!A$4:A$1503),AK15)</f>
        <v>45084</v>
      </c>
      <c r="AO15" s="18">
        <f>IF((($C15=$C$8)*($AN$8="x"))+(($C15=$C$9)*($AN$9="x"))+(($C15=$C$10)*($AN$10="x"))+(($C15=$C$11)*($AN$11="x")), WORKDAY.INTL(AM15,SUM($AO$4,AN15),1,holidays!A$4:A$1503),AM15)</f>
        <v>45090</v>
      </c>
      <c r="AQ15" s="18">
        <f>IF((($C15=$C$8)*($AP$8="x"))+(($C15=$C$9)*($AP$9="x"))+(($C15=$C$10)*($AP$10="x"))+(($C15=$C$11)*($AP$11="x")), WORKDAY.INTL(AO15,SUM($AQ$4,AP15),1,holidays!A$4:A$1503),AO15)</f>
        <v>45091</v>
      </c>
      <c r="AS15" s="18">
        <f>IF((($C15=$C$8)*($AR$8="x"))+(($C15=$C$9)*($AR$9="x"))+(($C15=$C$10)*($AR$10="x"))+(($C15=$C$11)*($AR$11="x")), WORKDAY.INTL(AQ15,SUM($AS$4,AR15),1,holidays!A$4:A$1503),AQ15)</f>
        <v>45093</v>
      </c>
      <c r="AU15" s="18">
        <f>IF((($C15=$C$8)*($AT$8="x"))+(($C15=$C$9)*($AT$9="x"))+(($C15=$C$10)*($AT$10="x"))+(($C15=$C$11)*($AT$11="x")), WORKDAY.INTL(AS15,SUM($AU$4,AT15),1,holidays!A$4:A$1503),AS15)</f>
        <v>45093</v>
      </c>
      <c r="AX15" s="19"/>
    </row>
    <row r="16" spans="1:62" s="22" customFormat="1" ht="15.75">
      <c r="A16" s="22" t="s">
        <v>8</v>
      </c>
      <c r="B16" s="123" t="s">
        <v>517</v>
      </c>
      <c r="C16" s="16" t="s">
        <v>515</v>
      </c>
      <c r="D16" s="18"/>
      <c r="E16" s="127">
        <v>45026</v>
      </c>
      <c r="F16" s="127">
        <f t="shared" si="1"/>
        <v>45099</v>
      </c>
      <c r="G16" s="17"/>
      <c r="H16" s="17"/>
      <c r="I16" s="17">
        <f>IF((($C16=$C$8)*($H$8="x"))+(($C16=$C$9)*($H$9="x"))+(($C16=$C$10)*($H$10="x"))+(($C16=$C$11)*($H$11="x")), WORKDAY.INTL(D16,SUM($I$4,H16),1,holidays!A$4:A$1503),D16)</f>
        <v>3</v>
      </c>
      <c r="J16" s="17"/>
      <c r="K16" s="17" cm="1">
        <f t="array" ref="K16">IF((($C16=$C$8)*($J$8:$J$8="x"))+(($C16=$C$9)*($J$9:$J$9="x"))+(($C16=$C$10)*($J$10:$J$10="x"))+(($C16=$C$11)*($J$11:$J$11="x")), WORKDAY.INTL(I16,SUM($K$4,J16),1,holidays!A$4:A$1503),I16)</f>
        <v>6</v>
      </c>
      <c r="L16" s="17"/>
      <c r="M16" s="17">
        <f>IF((($C16=$C$8)*($L$8="x"))+(($C16=$C$9)*($L$9="x"))+(($C16=$C$10)*($L$10="x"))+(($C16=$C$11)*($L$11="x")), WORKDAY.INTL(K16,SUM($M$4,L16),1,holidays!A$4:A$1503),K16)</f>
        <v>9</v>
      </c>
      <c r="N16" s="7">
        <v>17</v>
      </c>
      <c r="O16" s="18">
        <f>IF((($C16=$C$8)*($N$8="x"))+(($C16=$C$9)*($N$9="x"))+(($C16=$C$10)*($N$10="x"))+(($C16=$C$11)*($N$11="x")), WORKDAY.INTL(IF($A16="N",$M16,$E16),SUM($O$4,N16),1,holidays!A$4:A$1503),IF($A16="N",$M16,$E16))</f>
        <v>45051</v>
      </c>
      <c r="P16" s="20"/>
      <c r="Q16" s="18">
        <f>IF((($C16=$C$8)*($P$8="x"))+(($C16=$C$9)*($P$9="x"))+(($C16=$C$10)*($P$10="x"))+(($C16=$C$11)*($P$11="x")), WORKDAY.INTL(O16,SUM($Q$4,P16),1,holidays!A$4:A$1503),O16)</f>
        <v>45051</v>
      </c>
      <c r="R16" s="20"/>
      <c r="S16" s="18">
        <f>IF((($C16=$C$8)*($R$8="x"))+(($C16=$C$9)*($R$9="x"))+(($C16=$C$10)*($R$10="x"))+(($C16=$C$11)*($R$11="x")), WORKDAY.INTL(Q16,SUM($S$4,R16),1,holidays!A$4:A$1503),Q16)</f>
        <v>45054</v>
      </c>
      <c r="T16" s="20"/>
      <c r="U16" s="18">
        <f>IF((($C16=$C$8)*($T$8="x"))+(($C16=$C$9)*($T$9="x"))+(($C16=$C$10)*($T$10="x"))+(($C16=$C$11)*($T$11="x")), WORKDAY.INTL(S16,SUM($U$4,T16),1,holidays!A$4:A$1503),S16)</f>
        <v>45054</v>
      </c>
      <c r="V16" s="15">
        <v>1</v>
      </c>
      <c r="W16" s="18">
        <f>IF((($C16=$C$8)*($V$8="x"))+(($C16=$C$9)*($V$9="x"))+(($C16=$C$10)*($V$10="x"))+(($C16=$C$11)*($V$11="x")), WORKDAY.INTL(U16,SUM($W$4,V16),1,holidays!A$4:A$1503),U16)</f>
        <v>45057</v>
      </c>
      <c r="X16" s="15"/>
      <c r="Y16" s="18">
        <f>IF((($C16=$C$8)*($X$8="x"))+(($C16=$C$9)*($X$9="x"))+(($C16=$C$10)*($X$10="x"))+(($C16=$C$11)*($X$11="x")), WORKDAY.INTL(W16,SUM($Y$4,X16),1,holidays!A$4:A$1503),W16)</f>
        <v>45058</v>
      </c>
      <c r="Z16" s="15">
        <v>1</v>
      </c>
      <c r="AA16" s="18">
        <f>IF((($C16=$C$8)*($Z$8="x"))+(($C16=$C$9)*($Z$9="x"))+(($C16=$C$10)*($Z$10="x"))+(($C16=$C$11)*($Z$11="x")), WORKDAY.INTL(Y16,SUM($AA$4,Z16),1,holidays!A$4:A$1503),Y16)</f>
        <v>45065</v>
      </c>
      <c r="AB16" s="15"/>
      <c r="AC16" s="18">
        <f>IF((($C16=$C$8)*($AB$8="x"))+(($C16=$C$9)*($AB$9="x"))+(($C16=$C$10)*($AB$10="x"))+(($C16=$C$11)*($AB$11="x")), WORKDAY.INTL(AA16,SUM($AC$4,AB16),1,holidays!A$4:A$1503),AA16)</f>
        <v>45068</v>
      </c>
      <c r="AD16" s="15"/>
      <c r="AE16" s="18">
        <f>IF((($C16=$C$8)*($AD$8="x"))+(($C16=$C$9)*($AD$9="x"))+(($C16=$C$10)*($AD$10="x"))+(($C16=$C$11)*($AD$11="x")), WORKDAY.INTL(AC16,SUM($AE$4,AD16),1,holidays!A$4:A$1503),AC16)</f>
        <v>45070</v>
      </c>
      <c r="AF16" s="15"/>
      <c r="AG16" s="18">
        <f>IF((($C16=$C$8)*($AF$8="x"))+(($C16=$C$9)*($AF$9="x"))+(($C16=$C$10)*($AF$10="x"))+(($C16=$C$11)*($AF$11="x")), WORKDAY.INTL(AE16,SUM($AG$4,AF16),1,holidays!A$4:A$1503),AE16)</f>
        <v>45072</v>
      </c>
      <c r="AH16" s="15"/>
      <c r="AI16" s="18">
        <f>IF((($C16=$C$8)*($AH$8="x"))+(($C16=$C$9)*($AH$9="x"))+(($C16=$C$10)*($AH$10="x"))+(($C16=$C$11)*($AH$11="x")), WORKDAY.INTL(AG16,SUM($AI$4,AH16),1,holidays!A$4:A$1503),AG16)</f>
        <v>45075</v>
      </c>
      <c r="AJ16" s="15"/>
      <c r="AK16" s="18">
        <f>IF((($C16=$C$8)*($AJ$8="x"))+(($C16=$C$9)*($AJ$9="x"))+(($C16=$C$10)*($AJ$10="x"))+(($C16=$C$11)*($AJ$11="x")), WORKDAY.INTL(AI16,SUM($AK$4,AJ16),1,holidays!A$4:A$1503),AI16)</f>
        <v>45078</v>
      </c>
      <c r="AL16" s="15"/>
      <c r="AM16" s="18">
        <f>IF((($C16=$C$8)*($AL$8="x"))+(($C16=$C$9)*($AL$9="x"))+(($C16=$C$10)*($AL$10="x"))+(($C16=$C$11)*($AL$11="x")), WORKDAY.INTL(AK16,SUM($AM$4,AL16),1,holidays!A$4:A$1503),AK16)</f>
        <v>45090</v>
      </c>
      <c r="AN16" s="15"/>
      <c r="AO16" s="18">
        <f>IF((($C16=$C$8)*($AN$8="x"))+(($C16=$C$9)*($AN$9="x"))+(($C16=$C$10)*($AN$10="x"))+(($C16=$C$11)*($AN$11="x")), WORKDAY.INTL(AM16,SUM($AO$4,AN16),1,holidays!A$4:A$1503),AM16)</f>
        <v>45096</v>
      </c>
      <c r="AP16" s="15"/>
      <c r="AQ16" s="18">
        <f>IF((($C16=$C$8)*($AP$8="x"))+(($C16=$C$9)*($AP$9="x"))+(($C16=$C$10)*($AP$10="x"))+(($C16=$C$11)*($AP$11="x")), WORKDAY.INTL(AO16,SUM($AQ$4,AP16),1,holidays!A$4:A$1503),AO16)</f>
        <v>45097</v>
      </c>
      <c r="AR16" s="15"/>
      <c r="AS16" s="18">
        <f>IF((($C16=$C$8)*($AR$8="x"))+(($C16=$C$9)*($AR$9="x"))+(($C16=$C$10)*($AR$10="x"))+(($C16=$C$11)*($AR$11="x")), WORKDAY.INTL(AQ16,SUM($AS$4,AR16),1,holidays!A$4:A$1503),AQ16)</f>
        <v>45099</v>
      </c>
      <c r="AT16" s="15"/>
      <c r="AU16" s="18">
        <f>IF((($C16=$C$8)*($AT$8="x"))+(($C16=$C$9)*($AT$9="x"))+(($C16=$C$10)*($AT$10="x"))+(($C16=$C$11)*($AT$11="x")), WORKDAY.INTL(AS16,SUM($AU$4,AT16),1,holidays!A$4:A$1503),AS16)</f>
        <v>45099</v>
      </c>
      <c r="AV16" s="15"/>
      <c r="AW16" s="15"/>
      <c r="AX16" s="21"/>
    </row>
    <row r="17" spans="1:49" ht="15.75">
      <c r="A17" t="s">
        <v>8</v>
      </c>
      <c r="B17" s="122" t="s">
        <v>518</v>
      </c>
      <c r="C17" s="15" t="s">
        <v>505</v>
      </c>
      <c r="D17" s="15"/>
      <c r="E17" s="127">
        <v>45048</v>
      </c>
      <c r="F17" s="127">
        <f t="shared" si="1"/>
        <v>45128</v>
      </c>
      <c r="G17" s="17"/>
      <c r="H17" s="15"/>
      <c r="I17" s="17">
        <f>IF((($C17=$C$8)*($H$8="x"))+(($C17=$C$9)*($H$9="x"))+(($C17=$C$10)*($H$10="x"))+(($C17=$C$11)*($H$11="x")), WORKDAY.INTL(D17,SUM($I$4,H17),1,holidays!A$4:A$1503),D17)</f>
        <v>3</v>
      </c>
      <c r="J17" s="15"/>
      <c r="K17" s="17" cm="1">
        <f t="array" ref="K17">IF((($C17=$C$8)*($J$8:$J$8="x"))+(($C17=$C$9)*($J$9:$J$9="x"))+(($C17=$C$10)*($J$10:$J$10="x"))+(($C17=$C$11)*($J$11:$J$11="x")), WORKDAY.INTL(I17,SUM($K$4,J17),1,holidays!A$4:A$1503),I17)</f>
        <v>6</v>
      </c>
      <c r="L17" s="15"/>
      <c r="M17" s="17">
        <f>IF((($C17=$C$8)*($L$8="x"))+(($C17=$C$9)*($L$9="x"))+(($C17=$C$10)*($L$10="x"))+(($C17=$C$11)*($L$11="x")), WORKDAY.INTL(K17,SUM($M$4,L17),1,holidays!A$4:A$1503),K17)</f>
        <v>9</v>
      </c>
      <c r="N17" s="7">
        <v>23</v>
      </c>
      <c r="O17" s="18">
        <f>IF((($C17=$C$8)*($N$8="x"))+(($C17=$C$9)*($N$9="x"))+(($C17=$C$10)*($N$10="x"))+(($C17=$C$11)*($N$11="x")), WORKDAY.INTL(IF($A17="N",$M17,$E17),SUM($O$4,N17),1,holidays!A$4:A$1503),IF($A17="N",$M17,$E17))</f>
        <v>45084</v>
      </c>
      <c r="P17" s="20"/>
      <c r="Q17" s="18">
        <f>IF((($C17=$C$8)*($P$8="x"))+(($C17=$C$9)*($P$9="x"))+(($C17=$C$10)*($P$10="x"))+(($C17=$C$11)*($P$11="x")), WORKDAY.INTL(O17,SUM($Q$4,P17),1,holidays!A$4:A$1503),O17)</f>
        <v>45084</v>
      </c>
      <c r="R17" s="20"/>
      <c r="S17" s="18">
        <f>IF((($C17=$C$8)*($R$8="x"))+(($C17=$C$9)*($R$9="x"))+(($C17=$C$10)*($R$10="x"))+(($C17=$C$11)*($R$11="x")), WORKDAY.INTL(Q17,SUM($S$4,R17),1,holidays!A$4:A$1503),Q17)</f>
        <v>45085</v>
      </c>
      <c r="T17" s="20"/>
      <c r="U17" s="18">
        <f>IF((($C17=$C$8)*($T$8="x"))+(($C17=$C$9)*($T$9="x"))+(($C17=$C$10)*($T$10="x"))+(($C17=$C$11)*($T$11="x")), WORKDAY.INTL(S17,SUM($U$4,T17),1,holidays!A$4:A$1503),S17)</f>
        <v>45085</v>
      </c>
      <c r="V17" s="15"/>
      <c r="W17" s="18">
        <f>IF((($C17=$C$8)*($V$8="x"))+(($C17=$C$9)*($V$9="x"))+(($C17=$C$10)*($V$10="x"))+(($C17=$C$11)*($V$11="x")), WORKDAY.INTL(U17,SUM($W$4,V17),1,holidays!A$4:A$1503),U17)</f>
        <v>45089</v>
      </c>
      <c r="X17" s="15"/>
      <c r="Y17" s="18">
        <f>IF((($C17=$C$8)*($X$8="x"))+(($C17=$C$9)*($X$9="x"))+(($C17=$C$10)*($X$10="x"))+(($C17=$C$11)*($X$11="x")), WORKDAY.INTL(W17,SUM($Y$4,X17),1,holidays!A$4:A$1503),W17)</f>
        <v>45090</v>
      </c>
      <c r="Z17" s="15"/>
      <c r="AA17" s="18">
        <f>IF((($C17=$C$8)*($Z$8="x"))+(($C17=$C$9)*($Z$9="x"))+(($C17=$C$10)*($Z$10="x"))+(($C17=$C$11)*($Z$11="x")), WORKDAY.INTL(Y17,SUM($AA$4,Z17),1,holidays!A$4:A$1503),Y17)</f>
        <v>45096</v>
      </c>
      <c r="AB17" s="15"/>
      <c r="AC17" s="18">
        <f>IF((($C17=$C$8)*($AB$8="x"))+(($C17=$C$9)*($AB$9="x"))+(($C17=$C$10)*($AB$10="x"))+(($C17=$C$11)*($AB$11="x")), WORKDAY.INTL(AA17,SUM($AC$4,AB17),1,holidays!A$4:A$1503),AA17)</f>
        <v>45097</v>
      </c>
      <c r="AD17" s="15"/>
      <c r="AE17" s="18">
        <f>IF((($C17=$C$8)*($AD$8="x"))+(($C17=$C$9)*($AD$9="x"))+(($C17=$C$10)*($AD$10="x"))+(($C17=$C$11)*($AD$11="x")), WORKDAY.INTL(AC17,SUM($AE$4,AD17),1,holidays!A$4:A$1503),AC17)</f>
        <v>45099</v>
      </c>
      <c r="AF17" s="15"/>
      <c r="AG17" s="18">
        <f>IF((($C17=$C$8)*($AF$8="x"))+(($C17=$C$9)*($AF$9="x"))+(($C17=$C$10)*($AF$10="x"))+(($C17=$C$11)*($AF$11="x")), WORKDAY.INTL(AE17,SUM($AG$4,AF17),1,holidays!A$4:A$1503),AE17)</f>
        <v>45103</v>
      </c>
      <c r="AH17" s="15"/>
      <c r="AI17" s="18">
        <f>IF((($C17=$C$8)*($AH$8="x"))+(($C17=$C$9)*($AH$9="x"))+(($C17=$C$10)*($AH$10="x"))+(($C17=$C$11)*($AH$11="x")), WORKDAY.INTL(AG17,SUM($AI$4,AH17),1,holidays!A$4:A$1503),AG17)</f>
        <v>45104</v>
      </c>
      <c r="AJ17" s="15"/>
      <c r="AK17" s="18">
        <f>IF((($C17=$C$8)*($AJ$8="x"))+(($C17=$C$9)*($AJ$9="x"))+(($C17=$C$10)*($AJ$10="x"))+(($C17=$C$11)*($AJ$11="x")), WORKDAY.INTL(AI17,SUM($AK$4,AJ17),1,holidays!A$4:A$1503),AI17)</f>
        <v>45107</v>
      </c>
      <c r="AL17" s="15"/>
      <c r="AM17" s="18">
        <f>IF((($C17=$C$8)*($AL$8="x"))+(($C17=$C$9)*($AL$9="x"))+(($C17=$C$10)*($AL$10="x"))+(($C17=$C$11)*($AL$11="x")), WORKDAY.INTL(AK17,SUM($AM$4,AL17),1,holidays!A$4:A$1503),AK17)</f>
        <v>45119</v>
      </c>
      <c r="AN17" s="15"/>
      <c r="AO17" s="18">
        <f>IF((($C17=$C$8)*($AN$8="x"))+(($C17=$C$9)*($AN$9="x"))+(($C17=$C$10)*($AN$10="x"))+(($C17=$C$11)*($AN$11="x")), WORKDAY.INTL(AM17,SUM($AO$4,AN17),1,holidays!A$4:A$1503),AM17)</f>
        <v>45125</v>
      </c>
      <c r="AP17" s="15"/>
      <c r="AQ17" s="18">
        <f>IF((($C17=$C$8)*($AP$8="x"))+(($C17=$C$9)*($AP$9="x"))+(($C17=$C$10)*($AP$10="x"))+(($C17=$C$11)*($AP$11="x")), WORKDAY.INTL(AO17,SUM($AQ$4,AP17),1,holidays!A$4:A$1503),AO17)</f>
        <v>45126</v>
      </c>
      <c r="AR17" s="15"/>
      <c r="AS17" s="18">
        <f>IF((($C17=$C$8)*($AR$8="x"))+(($C17=$C$9)*($AR$9="x"))+(($C17=$C$10)*($AR$10="x"))+(($C17=$C$11)*($AR$11="x")), WORKDAY.INTL(AQ17,SUM($AS$4,AR17),1,holidays!A$4:A$1503),AQ17)</f>
        <v>45128</v>
      </c>
      <c r="AT17" s="15"/>
      <c r="AU17" s="18">
        <f>IF((($C17=$C$8)*($AT$8="x"))+(($C17=$C$9)*($AT$9="x"))+(($C17=$C$10)*($AT$10="x"))+(($C17=$C$11)*($AT$11="x")), WORKDAY.INTL(AS17,SUM($AU$4,AT17),1,holidays!A$4:A$1503),AS17)</f>
        <v>45128</v>
      </c>
      <c r="AV17" s="15"/>
      <c r="AW17" s="15"/>
    </row>
    <row r="18" spans="1:49" ht="15.75">
      <c r="A18" t="s">
        <v>8</v>
      </c>
      <c r="B18" s="122" t="s">
        <v>519</v>
      </c>
      <c r="C18" s="15" t="s">
        <v>505</v>
      </c>
      <c r="D18" s="15"/>
      <c r="E18" s="127">
        <v>45056</v>
      </c>
      <c r="F18" s="127">
        <f t="shared" si="1"/>
        <v>45132</v>
      </c>
      <c r="G18" s="17"/>
      <c r="H18" s="15"/>
      <c r="I18" s="17">
        <f>IF((($C18=$C$8)*($H$8="x"))+(($C18=$C$9)*($H$9="x"))+(($C18=$C$10)*($H$10="x"))+(($C18=$C$11)*($H$11="x")), WORKDAY.INTL(D18,SUM($I$4,H18),1,holidays!A$4:A$1503),D18)</f>
        <v>3</v>
      </c>
      <c r="J18" s="15"/>
      <c r="K18" s="17" cm="1">
        <f t="array" ref="K18">IF((($C18=$C$8)*($J$8:$J$8="x"))+(($C18=$C$9)*($J$9:$J$9="x"))+(($C18=$C$10)*($J$10:$J$10="x"))+(($C18=$C$11)*($J$11:$J$11="x")), WORKDAY.INTL(I18,SUM($K$4,J18),1,holidays!A$4:A$1503),I18)</f>
        <v>6</v>
      </c>
      <c r="L18" s="15"/>
      <c r="M18" s="17">
        <f>IF((($C18=$C$8)*($L$8="x"))+(($C18=$C$9)*($L$9="x"))+(($C18=$C$10)*($L$10="x"))+(($C18=$C$11)*($L$11="x")), WORKDAY.INTL(K18,SUM($M$4,L18),1,holidays!A$4:A$1503),K18)</f>
        <v>9</v>
      </c>
      <c r="N18" s="7">
        <v>19</v>
      </c>
      <c r="O18" s="18">
        <f>IF((($C18=$C$8)*($N$8="x"))+(($C18=$C$9)*($N$9="x"))+(($C18=$C$10)*($N$10="x"))+(($C18=$C$11)*($N$11="x")), WORKDAY.INTL(IF($A18="N",$M18,$E18),SUM($O$4,N18),1,holidays!A$4:A$1503),IF($A18="N",$M18,$E18))</f>
        <v>45086</v>
      </c>
      <c r="P18" s="15"/>
      <c r="Q18" s="18">
        <f>IF((($C18=$C$8)*($P$8="x"))+(($C18=$C$9)*($P$9="x"))+(($C18=$C$10)*($P$10="x"))+(($C18=$C$11)*($P$11="x")), WORKDAY.INTL(O18,SUM($Q$4,P18),1,holidays!A$4:A$1503),O18)</f>
        <v>45086</v>
      </c>
      <c r="R18" s="15"/>
      <c r="S18" s="18">
        <f>IF((($C18=$C$8)*($R$8="x"))+(($C18=$C$9)*($R$9="x"))+(($C18=$C$10)*($R$10="x"))+(($C18=$C$11)*($R$11="x")), WORKDAY.INTL(Q18,SUM($S$4,R18),1,holidays!A$4:A$1503),Q18)</f>
        <v>45089</v>
      </c>
      <c r="T18" s="15"/>
      <c r="U18" s="18">
        <f>IF((($C18=$C$8)*($T$8="x"))+(($C18=$C$9)*($T$9="x"))+(($C18=$C$10)*($T$10="x"))+(($C18=$C$11)*($T$11="x")), WORKDAY.INTL(S18,SUM($U$4,T18),1,holidays!A$4:A$1503),S18)</f>
        <v>45089</v>
      </c>
      <c r="V18" s="15"/>
      <c r="W18" s="18">
        <f>IF((($C18=$C$8)*($V$8="x"))+(($C18=$C$9)*($V$9="x"))+(($C18=$C$10)*($V$10="x"))+(($C18=$C$11)*($V$11="x")), WORKDAY.INTL(U18,SUM($W$4,V18),1,holidays!A$4:A$1503),U18)</f>
        <v>45091</v>
      </c>
      <c r="X18" s="15"/>
      <c r="Y18" s="18">
        <f>IF((($C18=$C$8)*($X$8="x"))+(($C18=$C$9)*($X$9="x"))+(($C18=$C$10)*($X$10="x"))+(($C18=$C$11)*($X$11="x")), WORKDAY.INTL(W18,SUM($Y$4,X18),1,holidays!A$4:A$1503),W18)</f>
        <v>45092</v>
      </c>
      <c r="Z18" s="15"/>
      <c r="AA18" s="18">
        <f>IF((($C18=$C$8)*($Z$8="x"))+(($C18=$C$9)*($Z$9="x"))+(($C18=$C$10)*($Z$10="x"))+(($C18=$C$11)*($Z$11="x")), WORKDAY.INTL(Y18,SUM($AA$4,Z18),1,holidays!A$4:A$1503),Y18)</f>
        <v>45098</v>
      </c>
      <c r="AB18" s="15"/>
      <c r="AC18" s="18">
        <f>IF((($C18=$C$8)*($AB$8="x"))+(($C18=$C$9)*($AB$9="x"))+(($C18=$C$10)*($AB$10="x"))+(($C18=$C$11)*($AB$11="x")), WORKDAY.INTL(AA18,SUM($AC$4,AB18),1,holidays!A$4:A$1503),AA18)</f>
        <v>45099</v>
      </c>
      <c r="AD18" s="15"/>
      <c r="AE18" s="18">
        <f>IF((($C18=$C$8)*($AD$8="x"))+(($C18=$C$9)*($AD$9="x"))+(($C18=$C$10)*($AD$10="x"))+(($C18=$C$11)*($AD$11="x")), WORKDAY.INTL(AC18,SUM($AE$4,AD18),1,holidays!A$4:A$1503),AC18)</f>
        <v>45103</v>
      </c>
      <c r="AF18" s="15"/>
      <c r="AG18" s="18">
        <f>IF((($C18=$C$8)*($AF$8="x"))+(($C18=$C$9)*($AF$9="x"))+(($C18=$C$10)*($AF$10="x"))+(($C18=$C$11)*($AF$11="x")), WORKDAY.INTL(AE18,SUM($AG$4,AF18),1,holidays!A$4:A$1503),AE18)</f>
        <v>45105</v>
      </c>
      <c r="AH18" s="15"/>
      <c r="AI18" s="18">
        <f>IF((($C18=$C$8)*($AH$8="x"))+(($C18=$C$9)*($AH$9="x"))+(($C18=$C$10)*($AH$10="x"))+(($C18=$C$11)*($AH$11="x")), WORKDAY.INTL(AG18,SUM($AI$4,AH18),1,holidays!A$4:A$1503),AG18)</f>
        <v>45106</v>
      </c>
      <c r="AJ18" s="15"/>
      <c r="AK18" s="18">
        <f>IF((($C18=$C$8)*($AJ$8="x"))+(($C18=$C$9)*($AJ$9="x"))+(($C18=$C$10)*($AJ$10="x"))+(($C18=$C$11)*($AJ$11="x")), WORKDAY.INTL(AI18,SUM($AK$4,AJ18),1,holidays!A$4:A$1503),AI18)</f>
        <v>45112</v>
      </c>
      <c r="AL18" s="15"/>
      <c r="AM18" s="18">
        <f>IF((($C18=$C$8)*($AL$8="x"))+(($C18=$C$9)*($AL$9="x"))+(($C18=$C$10)*($AL$10="x"))+(($C18=$C$11)*($AL$11="x")), WORKDAY.INTL(AK18,SUM($AM$4,AL18),1,holidays!A$4:A$1503),AK18)</f>
        <v>45121</v>
      </c>
      <c r="AN18" s="15"/>
      <c r="AO18" s="18">
        <f>IF((($C18=$C$8)*($AN$8="x"))+(($C18=$C$9)*($AN$9="x"))+(($C18=$C$10)*($AN$10="x"))+(($C18=$C$11)*($AN$11="x")), WORKDAY.INTL(AM18,SUM($AO$4,AN18),1,holidays!A$4:A$1503),AM18)</f>
        <v>45127</v>
      </c>
      <c r="AP18" s="15"/>
      <c r="AQ18" s="18">
        <f>IF((($C18=$C$8)*($AP$8="x"))+(($C18=$C$9)*($AP$9="x"))+(($C18=$C$10)*($AP$10="x"))+(($C18=$C$11)*($AP$11="x")), WORKDAY.INTL(AO18,SUM($AQ$4,AP18),1,holidays!A$4:A$1503),AO18)</f>
        <v>45128</v>
      </c>
      <c r="AR18" s="15"/>
      <c r="AS18" s="18">
        <f>IF((($C18=$C$8)*($AR$8="x"))+(($C18=$C$9)*($AR$9="x"))+(($C18=$C$10)*($AR$10="x"))+(($C18=$C$11)*($AR$11="x")), WORKDAY.INTL(AQ18,SUM($AS$4,AR18),1,holidays!A$4:A$1503),AQ18)</f>
        <v>45132</v>
      </c>
      <c r="AT18" s="15"/>
      <c r="AU18" s="18">
        <f>IF((($C18=$C$8)*($AT$8="x"))+(($C18=$C$9)*($AT$9="x"))+(($C18=$C$10)*($AT$10="x"))+(($C18=$C$11)*($AT$11="x")), WORKDAY.INTL(AS18,SUM($AU$4,AT18),1,holidays!A$4:A$1503),AS18)</f>
        <v>45132</v>
      </c>
      <c r="AV18" s="15"/>
      <c r="AW18" s="15"/>
    </row>
    <row r="19" spans="1:49" ht="15.75">
      <c r="A19" t="s">
        <v>8</v>
      </c>
      <c r="B19" s="145" t="s">
        <v>520</v>
      </c>
      <c r="C19" s="15" t="s">
        <v>505</v>
      </c>
      <c r="D19" s="18"/>
      <c r="E19" s="127">
        <v>45058</v>
      </c>
      <c r="F19" s="127">
        <f t="shared" si="1"/>
        <v>45120</v>
      </c>
      <c r="G19" s="17"/>
      <c r="H19" s="15"/>
      <c r="I19" s="17">
        <f>IF((($C19=$C$8)*($H$8="x"))+(($C19=$C$9)*($H$9="x"))+(($C19=$C$10)*($H$10="x"))+(($C19=$C$11)*($H$11="x")), WORKDAY.INTL(D19,SUM($I$4,H19),1,holidays!A$4:A$1503),D19)</f>
        <v>3</v>
      </c>
      <c r="J19" s="23"/>
      <c r="K19" s="17" cm="1">
        <f t="array" ref="K19">IF((($C19=$C$8)*($J$8:$J$8="x"))+(($C19=$C$9)*($J$9:$J$9="x"))+(($C19=$C$10)*($J$10:$J$10="x"))+(($C19=$C$11)*($J$11:$J$11="x")), WORKDAY.INTL(I19,SUM($K$4,J19),1,holidays!A$4:A$1503),I19)</f>
        <v>6</v>
      </c>
      <c r="L19" s="23"/>
      <c r="M19" s="17">
        <f>IF((($C19=$C$8)*($L$8="x"))+(($C19=$C$9)*($L$9="x"))+(($C19=$C$10)*($L$10="x"))+(($C19=$C$11)*($L$11="x")), WORKDAY.INTL(K19,SUM($M$4,L19),1,holidays!A$4:A$1503),K19)</f>
        <v>9</v>
      </c>
      <c r="N19" s="7">
        <v>9</v>
      </c>
      <c r="O19" s="18">
        <f>IF((($C19=$C$8)*($N$8="x"))+(($C19=$C$9)*($N$9="x"))+(($C19=$C$10)*($N$10="x"))+(($C19=$C$11)*($N$11="x")), WORKDAY.INTL(IF($A19="N",$M19,$E19),SUM($O$4,N19),1,holidays!A$4:A$1503),IF($A19="N",$M19,$E19))</f>
        <v>45075</v>
      </c>
      <c r="P19" s="15"/>
      <c r="Q19" s="18">
        <f>IF((($C19=$C$8)*($P$8="x"))+(($C19=$C$9)*($P$9="x"))+(($C19=$C$10)*($P$10="x"))+(($C19=$C$11)*($P$11="x")), WORKDAY.INTL(O19,SUM($Q$4,P19),1,holidays!A$4:A$1503),O19)</f>
        <v>45075</v>
      </c>
      <c r="R19" s="15"/>
      <c r="S19" s="18">
        <f>IF((($C19=$C$8)*($R$8="x"))+(($C19=$C$9)*($R$9="x"))+(($C19=$C$10)*($R$10="x"))+(($C19=$C$11)*($R$11="x")), WORKDAY.INTL(Q19,SUM($S$4,R19),1,holidays!A$4:A$1503),Q19)</f>
        <v>45076</v>
      </c>
      <c r="T19" s="15"/>
      <c r="U19" s="18">
        <f>IF((($C19=$C$8)*($T$8="x"))+(($C19=$C$9)*($T$9="x"))+(($C19=$C$10)*($T$10="x"))+(($C19=$C$11)*($T$11="x")), WORKDAY.INTL(S19,SUM($U$4,T19),1,holidays!A$4:A$1503),S19)</f>
        <v>45076</v>
      </c>
      <c r="V19" s="15"/>
      <c r="W19" s="18">
        <f>IF((($C19=$C$8)*($V$8="x"))+(($C19=$C$9)*($V$9="x"))+(($C19=$C$10)*($V$10="x"))+(($C19=$C$11)*($V$11="x")), WORKDAY.INTL(U19,SUM($W$4,V19),1,holidays!A$4:A$1503),U19)</f>
        <v>45078</v>
      </c>
      <c r="X19" s="15"/>
      <c r="Y19" s="18">
        <f>IF((($C19=$C$8)*($X$8="x"))+(($C19=$C$9)*($X$9="x"))+(($C19=$C$10)*($X$10="x"))+(($C19=$C$11)*($X$11="x")), WORKDAY.INTL(W19,SUM($Y$4,X19),1,holidays!A$4:A$1503),W19)</f>
        <v>45082</v>
      </c>
      <c r="Z19" s="15"/>
      <c r="AA19" s="18">
        <f>IF((($C19=$C$8)*($Z$8="x"))+(($C19=$C$9)*($Z$9="x"))+(($C19=$C$10)*($Z$10="x"))+(($C19=$C$11)*($Z$11="x")), WORKDAY.INTL(Y19,SUM($AA$4,Z19),1,holidays!A$4:A$1503),Y19)</f>
        <v>45086</v>
      </c>
      <c r="AB19" s="15"/>
      <c r="AC19" s="18">
        <f>IF((($C19=$C$8)*($AB$8="x"))+(($C19=$C$9)*($AB$9="x"))+(($C19=$C$10)*($AB$10="x"))+(($C19=$C$11)*($AB$11="x")), WORKDAY.INTL(AA19,SUM($AC$4,AB19),1,holidays!A$4:A$1503),AA19)</f>
        <v>45089</v>
      </c>
      <c r="AD19" s="15"/>
      <c r="AE19" s="18">
        <f>IF((($C19=$C$8)*($AD$8="x"))+(($C19=$C$9)*($AD$9="x"))+(($C19=$C$10)*($AD$10="x"))+(($C19=$C$11)*($AD$11="x")), WORKDAY.INTL(AC19,SUM($AE$4,AD19),1,holidays!A$4:A$1503),AC19)</f>
        <v>45091</v>
      </c>
      <c r="AF19" s="15"/>
      <c r="AG19" s="18">
        <f>IF((($C19=$C$8)*($AF$8="x"))+(($C19=$C$9)*($AF$9="x"))+(($C19=$C$10)*($AF$10="x"))+(($C19=$C$11)*($AF$11="x")), WORKDAY.INTL(AE19,SUM($AG$4,AF19),1,holidays!A$4:A$1503),AE19)</f>
        <v>45093</v>
      </c>
      <c r="AH19" s="15"/>
      <c r="AI19" s="18">
        <f>IF((($C19=$C$8)*($AH$8="x"))+(($C19=$C$9)*($AH$9="x"))+(($C19=$C$10)*($AH$10="x"))+(($C19=$C$11)*($AH$11="x")), WORKDAY.INTL(AG19,SUM($AI$4,AH19),1,holidays!A$4:A$1503),AG19)</f>
        <v>45096</v>
      </c>
      <c r="AJ19" s="15"/>
      <c r="AK19" s="18">
        <f>IF((($C19=$C$8)*($AJ$8="x"))+(($C19=$C$9)*($AJ$9="x"))+(($C19=$C$10)*($AJ$10="x"))+(($C19=$C$11)*($AJ$11="x")), WORKDAY.INTL(AI19,SUM($AK$4,AJ19),1,holidays!A$4:A$1503),AI19)</f>
        <v>45099</v>
      </c>
      <c r="AL19" s="15"/>
      <c r="AM19" s="18">
        <f>IF((($C19=$C$8)*($AL$8="x"))+(($C19=$C$9)*($AL$9="x"))+(($C19=$C$10)*($AL$10="x"))+(($C19=$C$11)*($AL$11="x")), WORKDAY.INTL(AK19,SUM($AM$4,AL19),1,holidays!A$4:A$1503),AK19)</f>
        <v>45110</v>
      </c>
      <c r="AN19" s="15"/>
      <c r="AO19" s="18">
        <f>IF((($C19=$C$8)*($AN$8="x"))+(($C19=$C$9)*($AN$9="x"))+(($C19=$C$10)*($AN$10="x"))+(($C19=$C$11)*($AN$11="x")), WORKDAY.INTL(AM19,SUM($AO$4,AN19),1,holidays!A$4:A$1503),AM19)</f>
        <v>45117</v>
      </c>
      <c r="AP19" s="15"/>
      <c r="AQ19" s="18">
        <f>IF((($C19=$C$8)*($AP$8="x"))+(($C19=$C$9)*($AP$9="x"))+(($C19=$C$10)*($AP$10="x"))+(($C19=$C$11)*($AP$11="x")), WORKDAY.INTL(AO19,SUM($AQ$4,AP19),1,holidays!A$4:A$1503),AO19)</f>
        <v>45118</v>
      </c>
      <c r="AR19" s="15"/>
      <c r="AS19" s="18">
        <f>IF((($C19=$C$8)*($AR$8="x"))+(($C19=$C$9)*($AR$9="x"))+(($C19=$C$10)*($AR$10="x"))+(($C19=$C$11)*($AR$11="x")), WORKDAY.INTL(AQ19,SUM($AS$4,AR19),1,holidays!A$4:A$1503),AQ19)</f>
        <v>45120</v>
      </c>
      <c r="AT19" s="15"/>
      <c r="AU19" s="18">
        <f>IF((($C19=$C$8)*($AT$8="x"))+(($C19=$C$9)*($AT$9="x"))+(($C19=$C$10)*($AT$10="x"))+(($C19=$C$11)*($AT$11="x")), WORKDAY.INTL(AS19,SUM($AU$4,AT19),1,holidays!A$4:A$1503),AS19)</f>
        <v>45120</v>
      </c>
      <c r="AV19" s="15"/>
      <c r="AW19" s="15"/>
    </row>
    <row r="20" spans="1:49" ht="14.45">
      <c r="A20" t="s">
        <v>521</v>
      </c>
      <c r="B20" s="123" t="s">
        <v>522</v>
      </c>
      <c r="C20" s="23" t="s">
        <v>515</v>
      </c>
      <c r="D20" s="18"/>
      <c r="E20" s="127">
        <v>45084</v>
      </c>
      <c r="F20" s="127">
        <f t="shared" si="1"/>
        <v>45135</v>
      </c>
      <c r="G20" s="17"/>
      <c r="H20" s="15"/>
      <c r="I20" s="17">
        <f>IF((($C20=$C$8)*($H$8="x"))+(($C20=$C$9)*($H$9="x"))+(($C20=$C$10)*($H$10="x"))+(($C20=$C$11)*($H$11="x")), WORKDAY.INTL(D20,SUM($I$4,H20),1,holidays!A$4:A$1503),D20)</f>
        <v>3</v>
      </c>
      <c r="J20" s="23"/>
      <c r="K20" s="17" cm="1">
        <f t="array" ref="K20">IF((($C20=$C$8)*($J$8:$J$8="x"))+(($C20=$C$9)*($J$9:$J$9="x"))+(($C20=$C$10)*($J$10:$J$10="x"))+(($C20=$C$11)*($J$11:$J$11="x")), WORKDAY.INTL(I20,SUM($K$4,J20),1,holidays!A$4:A$1503),I20)</f>
        <v>6</v>
      </c>
      <c r="L20" s="23"/>
      <c r="M20" s="17">
        <f>IF((($C20=$C$8)*($L$8="x"))+(($C20=$C$9)*($L$9="x"))+(($C20=$C$10)*($L$10="x"))+(($C20=$C$11)*($L$11="x")), WORKDAY.INTL(K20,SUM($M$4,L20),1,holidays!A$4:A$1503),K20)</f>
        <v>9</v>
      </c>
      <c r="N20" s="15">
        <v>3</v>
      </c>
      <c r="O20" s="18">
        <f>IF((($C20=$C$8)*($N$8="x"))+(($C20=$C$9)*($N$9="x"))+(($C20=$C$10)*($N$10="x"))+(($C20=$C$11)*($N$11="x")), WORKDAY.INTL(IF($A20="N",$M20,$E20),SUM($O$4,N20),1,holidays!A$4:A$1503),IF($A20="N",$M20,$E20))</f>
        <v>45091</v>
      </c>
      <c r="P20" s="15"/>
      <c r="Q20" s="18">
        <f>IF((($C20=$C$8)*($P$8="x"))+(($C20=$C$9)*($P$9="x"))+(($C20=$C$10)*($P$10="x"))+(($C20=$C$11)*($P$11="x")), WORKDAY.INTL(O20,SUM($Q$4,P20),1,holidays!A$4:A$1503),O20)</f>
        <v>45091</v>
      </c>
      <c r="R20" s="15"/>
      <c r="S20" s="18">
        <f>IF((($C20=$C$8)*($R$8="x"))+(($C20=$C$9)*($R$9="x"))+(($C20=$C$10)*($R$10="x"))+(($C20=$C$11)*($R$11="x")), WORKDAY.INTL(Q20,SUM($S$4,R20),1,holidays!A$4:A$1503),Q20)</f>
        <v>45092</v>
      </c>
      <c r="T20" s="15"/>
      <c r="U20" s="18">
        <f>IF((($C20=$C$8)*($T$8="x"))+(($C20=$C$9)*($T$9="x"))+(($C20=$C$10)*($T$10="x"))+(($C20=$C$11)*($T$11="x")), WORKDAY.INTL(S20,SUM($U$4,T20),1,holidays!A$4:A$1503),S20)</f>
        <v>45092</v>
      </c>
      <c r="V20" s="15"/>
      <c r="W20" s="18">
        <f>IF((($C20=$C$8)*($V$8="x"))+(($C20=$C$9)*($V$9="x"))+(($C20=$C$10)*($V$10="x"))+(($C20=$C$11)*($V$11="x")), WORKDAY.INTL(U20,SUM($W$4,V20),1,holidays!A$4:A$1503),U20)</f>
        <v>45096</v>
      </c>
      <c r="X20" s="15"/>
      <c r="Y20" s="18">
        <f>IF((($C20=$C$8)*($X$8="x"))+(($C20=$C$9)*($X$9="x"))+(($C20=$C$10)*($X$10="x"))+(($C20=$C$11)*($X$11="x")), WORKDAY.INTL(W20,SUM($Y$4,X20),1,holidays!A$4:A$1503),W20)</f>
        <v>45097</v>
      </c>
      <c r="Z20" s="15"/>
      <c r="AA20" s="18">
        <f>IF((($C20=$C$8)*($Z$8="x"))+(($C20=$C$9)*($Z$9="x"))+(($C20=$C$10)*($Z$10="x"))+(($C20=$C$11)*($Z$11="x")), WORKDAY.INTL(Y20,SUM($AA$4,Z20),1,holidays!A$4:A$1503),Y20)</f>
        <v>45103</v>
      </c>
      <c r="AB20" s="15"/>
      <c r="AC20" s="18">
        <f>IF((($C20=$C$8)*($AB$8="x"))+(($C20=$C$9)*($AB$9="x"))+(($C20=$C$10)*($AB$10="x"))+(($C20=$C$11)*($AB$11="x")), WORKDAY.INTL(AA20,SUM($AC$4,AB20),1,holidays!A$4:A$1503),AA20)</f>
        <v>45104</v>
      </c>
      <c r="AD20" s="15"/>
      <c r="AE20" s="18">
        <f>IF((($C20=$C$8)*($AD$8="x"))+(($C20=$C$9)*($AD$9="x"))+(($C20=$C$10)*($AD$10="x"))+(($C20=$C$11)*($AD$11="x")), WORKDAY.INTL(AC20,SUM($AE$4,AD20),1,holidays!A$4:A$1503),AC20)</f>
        <v>45106</v>
      </c>
      <c r="AF20" s="15"/>
      <c r="AG20" s="18">
        <f>IF((($C20=$C$8)*($AF$8="x"))+(($C20=$C$9)*($AF$9="x"))+(($C20=$C$10)*($AF$10="x"))+(($C20=$C$11)*($AF$11="x")), WORKDAY.INTL(AE20,SUM($AG$4,AF20),1,holidays!A$4:A$1503),AE20)</f>
        <v>45110</v>
      </c>
      <c r="AH20" s="15"/>
      <c r="AI20" s="18">
        <f>IF((($C20=$C$8)*($AH$8="x"))+(($C20=$C$9)*($AH$9="x"))+(($C20=$C$10)*($AH$10="x"))+(($C20=$C$11)*($AH$11="x")), WORKDAY.INTL(AG20,SUM($AI$4,AH20),1,holidays!A$4:A$1503),AG20)</f>
        <v>45112</v>
      </c>
      <c r="AJ20" s="15"/>
      <c r="AK20" s="18">
        <f>IF((($C20=$C$8)*($AJ$8="x"))+(($C20=$C$9)*($AJ$9="x"))+(($C20=$C$10)*($AJ$10="x"))+(($C20=$C$11)*($AJ$11="x")), WORKDAY.INTL(AI20,SUM($AK$4,AJ20),1,holidays!A$4:A$1503),AI20)</f>
        <v>45117</v>
      </c>
      <c r="AL20" s="15"/>
      <c r="AM20" s="18">
        <f>IF((($C20=$C$8)*($AL$8="x"))+(($C20=$C$9)*($AL$9="x"))+(($C20=$C$10)*($AL$10="x"))+(($C20=$C$11)*($AL$11="x")), WORKDAY.INTL(AK20,SUM($AM$4,AL20),1,holidays!A$4:A$1503),AK20)</f>
        <v>45126</v>
      </c>
      <c r="AN20" s="15"/>
      <c r="AO20" s="18">
        <f>IF((($C20=$C$8)*($AN$8="x"))+(($C20=$C$9)*($AN$9="x"))+(($C20=$C$10)*($AN$10="x"))+(($C20=$C$11)*($AN$11="x")), WORKDAY.INTL(AM20,SUM($AO$4,AN20),1,holidays!A$4:A$1503),AM20)</f>
        <v>45132</v>
      </c>
      <c r="AP20" s="15"/>
      <c r="AQ20" s="18">
        <f>IF((($C20=$C$8)*($AP$8="x"))+(($C20=$C$9)*($AP$9="x"))+(($C20=$C$10)*($AP$10="x"))+(($C20=$C$11)*($AP$11="x")), WORKDAY.INTL(AO20,SUM($AQ$4,AP20),1,holidays!A$4:A$1503),AO20)</f>
        <v>45133</v>
      </c>
      <c r="AR20" s="15"/>
      <c r="AS20" s="18">
        <f>IF((($C20=$C$8)*($AR$8="x"))+(($C20=$C$9)*($AR$9="x"))+(($C20=$C$10)*($AR$10="x"))+(($C20=$C$11)*($AR$11="x")), WORKDAY.INTL(AQ20,SUM($AS$4,AR20),1,holidays!A$4:A$1503),AQ20)</f>
        <v>45135</v>
      </c>
      <c r="AT20" s="15"/>
      <c r="AU20" s="18">
        <f>IF((($C20=$C$8)*($AT$8="x"))+(($C20=$C$9)*($AT$9="x"))+(($C20=$C$10)*($AT$10="x"))+(($C20=$C$11)*($AT$11="x")), WORKDAY.INTL(AS20,SUM($AU$4,AT20),1,holidays!A$4:A$1503),AS20)</f>
        <v>45135</v>
      </c>
      <c r="AV20" s="15"/>
      <c r="AW20" s="15"/>
    </row>
    <row r="21" spans="1:49" ht="15.75">
      <c r="B21" s="122" t="s">
        <v>523</v>
      </c>
      <c r="C21" s="23" t="s">
        <v>515</v>
      </c>
      <c r="D21" s="18"/>
      <c r="E21" s="127">
        <v>45085</v>
      </c>
      <c r="F21" s="127">
        <f t="shared" ref="F21" si="2">MAX(I21:AAB21)</f>
        <v>45133</v>
      </c>
      <c r="G21" s="17"/>
      <c r="H21" s="17"/>
      <c r="I21" s="17"/>
      <c r="J21" s="17"/>
      <c r="K21" s="17"/>
      <c r="L21" s="23"/>
      <c r="M21" s="17">
        <f>IF((($C21=$C$8)*($L$8="x"))+(($C21=$C$9)*($L$9="x"))+(($C21=$C$10)*($L$10="x"))+(($C21=$C$11)*($L$11="x")), WORKDAY.INTL(K21,SUM($M$4,L21),1,holidays!A$4:A$1503),K21)</f>
        <v>2</v>
      </c>
      <c r="N21" s="15"/>
      <c r="O21" s="18">
        <f>IF((($C21=$C$8)*($N$8="x"))+(($C21=$C$9)*($N$9="x"))+(($C21=$C$10)*($N$10="x"))+(($C21=$C$11)*($N$11="x")), WORKDAY.INTL(IF($A21="N",$M21,$E21),SUM($O$4,N21),1,holidays!A$4:A$1503),IF($A21="N",$M21,$E21))</f>
        <v>45089</v>
      </c>
      <c r="P21" s="15"/>
      <c r="Q21" s="18">
        <f>IF((($C21=$C$8)*($P$8="x"))+(($C21=$C$9)*($P$9="x"))+(($C21=$C$10)*($P$10="x"))+(($C21=$C$11)*($P$11="x")), WORKDAY.INTL(O21,SUM($Q$4,P21),1,holidays!A$4:A$1503),O21)</f>
        <v>45089</v>
      </c>
      <c r="R21" s="15"/>
      <c r="S21" s="18">
        <f>IF((($C21=$C$8)*($R$8="x"))+(($C21=$C$9)*($R$9="x"))+(($C21=$C$10)*($R$10="x"))+(($C21=$C$11)*($R$11="x")), WORKDAY.INTL(Q21,SUM($S$4,R21),1,holidays!A$4:A$1503),Q21)</f>
        <v>45090</v>
      </c>
      <c r="T21" s="15"/>
      <c r="U21" s="18">
        <f>IF((($C21=$C$8)*($T$8="x"))+(($C21=$C$9)*($T$9="x"))+(($C21=$C$10)*($T$10="x"))+(($C21=$C$11)*($T$11="x")), WORKDAY.INTL(S21,SUM($U$4,T21),1,holidays!A$4:A$1503),S21)</f>
        <v>45090</v>
      </c>
      <c r="V21" s="15"/>
      <c r="W21" s="18">
        <f>IF((($C21=$C$8)*($V$8="x"))+(($C21=$C$9)*($V$9="x"))+(($C21=$C$10)*($V$10="x"))+(($C21=$C$11)*($V$11="x")), WORKDAY.INTL(U21,SUM($W$4,V21),1,holidays!A$4:A$1503),U21)</f>
        <v>45092</v>
      </c>
      <c r="X21" s="15"/>
      <c r="Y21" s="18">
        <f>IF((($C21=$C$8)*($X$8="x"))+(($C21=$C$9)*($X$9="x"))+(($C21=$C$10)*($X$10="x"))+(($C21=$C$11)*($X$11="x")), WORKDAY.INTL(W21,SUM($Y$4,X21),1,holidays!A$4:A$1503),W21)</f>
        <v>45093</v>
      </c>
      <c r="Z21" s="15"/>
      <c r="AA21" s="18">
        <f>IF((($C21=$C$8)*($Z$8="x"))+(($C21=$C$9)*($Z$9="x"))+(($C21=$C$10)*($Z$10="x"))+(($C21=$C$11)*($Z$11="x")), WORKDAY.INTL(Y21,SUM($AA$4,Z21),1,holidays!A$4:A$1503),Y21)</f>
        <v>45099</v>
      </c>
      <c r="AB21" s="15"/>
      <c r="AC21" s="18">
        <f>IF((($C21=$C$8)*($AB$8="x"))+(($C21=$C$9)*($AB$9="x"))+(($C21=$C$10)*($AB$10="x"))+(($C21=$C$11)*($AB$11="x")), WORKDAY.INTL(AA21,SUM($AC$4,AB21),1,holidays!A$4:A$1503),AA21)</f>
        <v>45100</v>
      </c>
      <c r="AD21" s="15"/>
      <c r="AE21" s="18">
        <f>IF((($C21=$C$8)*($AD$8="x"))+(($C21=$C$9)*($AD$9="x"))+(($C21=$C$10)*($AD$10="x"))+(($C21=$C$11)*($AD$11="x")), WORKDAY.INTL(AC21,SUM($AE$4,AD21),1,holidays!A$4:A$1503),AC21)</f>
        <v>45104</v>
      </c>
      <c r="AF21" s="15"/>
      <c r="AG21" s="18">
        <f>IF((($C21=$C$8)*($AF$8="x"))+(($C21=$C$9)*($AF$9="x"))+(($C21=$C$10)*($AF$10="x"))+(($C21=$C$11)*($AF$11="x")), WORKDAY.INTL(AE21,SUM($AG$4,AF21),1,holidays!A$4:A$1503),AE21)</f>
        <v>45106</v>
      </c>
      <c r="AH21" s="15"/>
      <c r="AI21" s="18">
        <f>IF((($C21=$C$8)*($AH$8="x"))+(($C21=$C$9)*($AH$9="x"))+(($C21=$C$10)*($AH$10="x"))+(($C21=$C$11)*($AH$11="x")), WORKDAY.INTL(AG21,SUM($AI$4,AH21),1,holidays!A$4:A$1503),AG21)</f>
        <v>45107</v>
      </c>
      <c r="AJ21" s="15"/>
      <c r="AK21" s="18">
        <f>IF((($C21=$C$8)*($AJ$8="x"))+(($C21=$C$9)*($AJ$9="x"))+(($C21=$C$10)*($AJ$10="x"))+(($C21=$C$11)*($AJ$11="x")), WORKDAY.INTL(AI21,SUM($AK$4,AJ21),1,holidays!A$4:A$1503),AI21)</f>
        <v>45113</v>
      </c>
      <c r="AL21" s="15"/>
      <c r="AM21" s="18">
        <f>IF((($C21=$C$8)*($AL$8="x"))+(($C21=$C$9)*($AL$9="x"))+(($C21=$C$10)*($AL$10="x"))+(($C21=$C$11)*($AL$11="x")), WORKDAY.INTL(AK21,SUM($AM$4,AL21),1,holidays!A$4:A$1503),AK21)</f>
        <v>45124</v>
      </c>
      <c r="AN21" s="15"/>
      <c r="AO21" s="18">
        <f>IF((($C21=$C$8)*($AN$8="x"))+(($C21=$C$9)*($AN$9="x"))+(($C21=$C$10)*($AN$10="x"))+(($C21=$C$11)*($AN$11="x")), WORKDAY.INTL(AM21,SUM($AO$4,AN21),1,holidays!A$4:A$1503),AM21)</f>
        <v>45128</v>
      </c>
      <c r="AP21" s="15"/>
      <c r="AQ21" s="18">
        <f>IF((($C21=$C$8)*($AP$8="x"))+(($C21=$C$9)*($AP$9="x"))+(($C21=$C$10)*($AP$10="x"))+(($C21=$C$11)*($AP$11="x")), WORKDAY.INTL(AO21,SUM($AQ$4,AP21),1,holidays!A$4:A$1503),AO21)</f>
        <v>45131</v>
      </c>
      <c r="AR21" s="15"/>
      <c r="AS21" s="18">
        <f>IF((($C21=$C$8)*($AR$8="x"))+(($C21=$C$9)*($AR$9="x"))+(($C21=$C$10)*($AR$10="x"))+(($C21=$C$11)*($AR$11="x")), WORKDAY.INTL(AQ21,SUM($AS$4,AR21),1,holidays!A$4:A$1503),AQ21)</f>
        <v>45133</v>
      </c>
      <c r="AT21" s="15"/>
      <c r="AU21" s="18">
        <f>IF((($C21=$C$8)*($AT$8="x"))+(($C21=$C$9)*($AT$9="x"))+(($C21=$C$10)*($AT$10="x"))+(($C21=$C$11)*($AT$11="x")), WORKDAY.INTL(AS21,SUM($AU$4,AT21),1,holidays!A$4:A$1503),AS21)</f>
        <v>45133</v>
      </c>
      <c r="AV21" s="15"/>
      <c r="AW21" s="15"/>
    </row>
    <row r="22" spans="1:49" ht="15.75">
      <c r="A22" t="s">
        <v>8</v>
      </c>
      <c r="B22" s="122" t="s">
        <v>524</v>
      </c>
      <c r="C22" s="23" t="s">
        <v>515</v>
      </c>
      <c r="D22" s="18"/>
      <c r="E22" s="127">
        <v>45086</v>
      </c>
      <c r="F22" s="127">
        <f>MAX(I22:AAB22)</f>
        <v>45134</v>
      </c>
      <c r="G22" s="17"/>
      <c r="H22" s="17"/>
      <c r="I22" s="17"/>
      <c r="J22" s="17"/>
      <c r="K22" s="17"/>
      <c r="L22" s="23"/>
      <c r="M22" s="17">
        <f>IF((($C22=$C$8)*($L$8="x"))+(($C22=$C$9)*($L$9="x"))+(($C22=$C$10)*($L$10="x"))+(($C22=$C$11)*($L$11="x")), WORKDAY.INTL(K22,SUM($M$4,L22),1,holidays!A$4:A$1503),K22)</f>
        <v>2</v>
      </c>
      <c r="N22" s="15"/>
      <c r="O22" s="18">
        <f>IF((($C22=$C$8)*($N$8="x"))+(($C22=$C$9)*($N$9="x"))+(($C22=$C$10)*($N$10="x"))+(($C22=$C$11)*($N$11="x")), WORKDAY.INTL(IF($A22="N",$M22,$E22),SUM($O$4,N22),1,holidays!A$4:A$1503),IF($A22="N",$M22,$E22))</f>
        <v>45090</v>
      </c>
      <c r="P22" s="15"/>
      <c r="Q22" s="18">
        <f>IF((($C22=$C$8)*($P$8="x"))+(($C22=$C$9)*($P$9="x"))+(($C22=$C$10)*($P$10="x"))+(($C22=$C$11)*($P$11="x")), WORKDAY.INTL(O22,SUM($Q$4,P22),1,holidays!A$4:A$1503),O22)</f>
        <v>45090</v>
      </c>
      <c r="R22" s="15"/>
      <c r="S22" s="18">
        <f>IF((($C22=$C$8)*($R$8="x"))+(($C22=$C$9)*($R$9="x"))+(($C22=$C$10)*($R$10="x"))+(($C22=$C$11)*($R$11="x")), WORKDAY.INTL(Q22,SUM($S$4,R22),1,holidays!A$4:A$1503),Q22)</f>
        <v>45091</v>
      </c>
      <c r="T22" s="15"/>
      <c r="U22" s="18">
        <f>IF((($C22=$C$8)*($T$8="x"))+(($C22=$C$9)*($T$9="x"))+(($C22=$C$10)*($T$10="x"))+(($C22=$C$11)*($T$11="x")), WORKDAY.INTL(S22,SUM($U$4,T22),1,holidays!A$4:A$1503),S22)</f>
        <v>45091</v>
      </c>
      <c r="V22" s="15"/>
      <c r="W22" s="18">
        <f>IF((($C22=$C$8)*($V$8="x"))+(($C22=$C$9)*($V$9="x"))+(($C22=$C$10)*($V$10="x"))+(($C22=$C$11)*($V$11="x")), WORKDAY.INTL(U22,SUM($W$4,V22),1,holidays!A$4:A$1503),U22)</f>
        <v>45093</v>
      </c>
      <c r="X22" s="15"/>
      <c r="Y22" s="18">
        <f>IF((($C22=$C$8)*($X$8="x"))+(($C22=$C$9)*($X$9="x"))+(($C22=$C$10)*($X$10="x"))+(($C22=$C$11)*($X$11="x")), WORKDAY.INTL(W22,SUM($Y$4,X22),1,holidays!A$4:A$1503),W22)</f>
        <v>45096</v>
      </c>
      <c r="Z22" s="15"/>
      <c r="AA22" s="18">
        <f>IF((($C22=$C$8)*($Z$8="x"))+(($C22=$C$9)*($Z$9="x"))+(($C22=$C$10)*($Z$10="x"))+(($C22=$C$11)*($Z$11="x")), WORKDAY.INTL(Y22,SUM($AA$4,Z22),1,holidays!A$4:A$1503),Y22)</f>
        <v>45100</v>
      </c>
      <c r="AB22" s="15"/>
      <c r="AC22" s="18">
        <f>IF((($C22=$C$8)*($AB$8="x"))+(($C22=$C$9)*($AB$9="x"))+(($C22=$C$10)*($AB$10="x"))+(($C22=$C$11)*($AB$11="x")), WORKDAY.INTL(AA22,SUM($AC$4,AB22),1,holidays!A$4:A$1503),AA22)</f>
        <v>45103</v>
      </c>
      <c r="AD22" s="15"/>
      <c r="AE22" s="18">
        <f>IF((($C22=$C$8)*($AD$8="x"))+(($C22=$C$9)*($AD$9="x"))+(($C22=$C$10)*($AD$10="x"))+(($C22=$C$11)*($AD$11="x")), WORKDAY.INTL(AC22,SUM($AE$4,AD22),1,holidays!A$4:A$1503),AC22)</f>
        <v>45105</v>
      </c>
      <c r="AF22" s="15"/>
      <c r="AG22" s="18">
        <f>IF((($C22=$C$8)*($AF$8="x"))+(($C22=$C$9)*($AF$9="x"))+(($C22=$C$10)*($AF$10="x"))+(($C22=$C$11)*($AF$11="x")), WORKDAY.INTL(AE22,SUM($AG$4,AF22),1,holidays!A$4:A$1503),AE22)</f>
        <v>45107</v>
      </c>
      <c r="AH22" s="15"/>
      <c r="AI22" s="18">
        <f>IF((($C22=$C$8)*($AH$8="x"))+(($C22=$C$9)*($AH$9="x"))+(($C22=$C$10)*($AH$10="x"))+(($C22=$C$11)*($AH$11="x")), WORKDAY.INTL(AG22,SUM($AI$4,AH22),1,holidays!A$4:A$1503),AG22)</f>
        <v>45110</v>
      </c>
      <c r="AJ22" s="15"/>
      <c r="AK22" s="18">
        <f>IF((($C22=$C$8)*($AJ$8="x"))+(($C22=$C$9)*($AJ$9="x"))+(($C22=$C$10)*($AJ$10="x"))+(($C22=$C$11)*($AJ$11="x")), WORKDAY.INTL(AI22,SUM($AK$4,AJ22),1,holidays!A$4:A$1503),AI22)</f>
        <v>45114</v>
      </c>
      <c r="AL22" s="15"/>
      <c r="AM22" s="18">
        <f>IF((($C22=$C$8)*($AL$8="x"))+(($C22=$C$9)*($AL$9="x"))+(($C22=$C$10)*($AL$10="x"))+(($C22=$C$11)*($AL$11="x")), WORKDAY.INTL(AK22,SUM($AM$4,AL22),1,holidays!A$4:A$1503),AK22)</f>
        <v>45125</v>
      </c>
      <c r="AN22" s="15"/>
      <c r="AO22" s="18">
        <f>IF((($C22=$C$8)*($AN$8="x"))+(($C22=$C$9)*($AN$9="x"))+(($C22=$C$10)*($AN$10="x"))+(($C22=$C$11)*($AN$11="x")), WORKDAY.INTL(AM22,SUM($AO$4,AN22),1,holidays!A$4:A$1503),AM22)</f>
        <v>45131</v>
      </c>
      <c r="AP22" s="15"/>
      <c r="AQ22" s="18">
        <f>IF((($C22=$C$8)*($AP$8="x"))+(($C22=$C$9)*($AP$9="x"))+(($C22=$C$10)*($AP$10="x"))+(($C22=$C$11)*($AP$11="x")), WORKDAY.INTL(AO22,SUM($AQ$4,AP22),1,holidays!A$4:A$1503),AO22)</f>
        <v>45132</v>
      </c>
      <c r="AR22" s="15"/>
      <c r="AS22" s="18">
        <f>IF((($C22=$C$8)*($AR$8="x"))+(($C22=$C$9)*($AR$9="x"))+(($C22=$C$10)*($AR$10="x"))+(($C22=$C$11)*($AR$11="x")), WORKDAY.INTL(AQ22,SUM($AS$4,AR22),1,holidays!A$4:A$1503),AQ22)</f>
        <v>45134</v>
      </c>
      <c r="AT22" s="15"/>
      <c r="AU22" s="18">
        <f>IF((($C22=$C$8)*($AT$8="x"))+(($C22=$C$9)*($AT$9="x"))+(($C22=$C$10)*($AT$10="x"))+(($C22=$C$11)*($AT$11="x")), WORKDAY.INTL(AS22,SUM($AU$4,AT22),1,holidays!A$4:A$1503),AS22)</f>
        <v>45134</v>
      </c>
      <c r="AV22" s="15"/>
      <c r="AW22" s="15"/>
    </row>
    <row r="23" spans="1:49" ht="15.75">
      <c r="A23" t="s">
        <v>8</v>
      </c>
      <c r="B23" s="122" t="s">
        <v>525</v>
      </c>
      <c r="C23" s="15" t="s">
        <v>505</v>
      </c>
      <c r="D23" s="18"/>
      <c r="E23" s="127">
        <v>45253</v>
      </c>
      <c r="F23" s="127">
        <f>MAX(I23:AAB23)</f>
        <v>45308</v>
      </c>
      <c r="G23" s="17"/>
      <c r="H23" s="17"/>
      <c r="I23" s="17"/>
      <c r="J23" s="17"/>
      <c r="K23" s="17"/>
      <c r="L23" s="23"/>
      <c r="M23" s="17">
        <f>IF((($C23=$C$8)*($L$8="x"))+(($C23=$C$9)*($L$9="x"))+(($C23=$C$10)*($L$10="x"))+(($C23=$C$11)*($L$11="x")), WORKDAY.INTL(K23,SUM($M$4,L23),1,holidays!A$4:A$1503),K23)</f>
        <v>2</v>
      </c>
      <c r="N23" s="15">
        <v>0</v>
      </c>
      <c r="O23" s="18">
        <f>IF((($C23=$C$8)*($N$8="x"))+(($C23=$C$9)*($N$9="x"))+(($C23=$C$10)*($N$10="x"))+(($C23=$C$11)*($N$11="x")), WORKDAY.INTL(IF($A23="N",$M23,$E23),SUM($O$4,N23),1,holidays!A$4:A$1503),IF($A23="N",$M23,$E23))</f>
        <v>45257</v>
      </c>
      <c r="P23" s="15">
        <v>0</v>
      </c>
      <c r="Q23" s="18">
        <f>IF((($C23=$C$8)*($P$8="x"))+(($C23=$C$9)*($P$9="x"))+(($C23=$C$10)*($P$10="x"))+(($C23=$C$11)*($P$11="x")), WORKDAY.INTL(O23,SUM($Q$4,P23),1,holidays!A$4:A$1503),O23)</f>
        <v>45257</v>
      </c>
      <c r="R23" s="15"/>
      <c r="S23" s="18">
        <f>IF((($C23=$C$8)*($R$8="x"))+(($C23=$C$9)*($R$9="x"))+(($C23=$C$10)*($R$10="x"))+(($C23=$C$11)*($R$11="x")), WORKDAY.INTL(Q23,SUM($S$4,R23),1,holidays!A$4:A$1503),Q23)</f>
        <v>45258</v>
      </c>
      <c r="T23" s="15"/>
      <c r="U23" s="18">
        <f>IF((($C23=$C$8)*($T$8="x"))+(($C23=$C$9)*($T$9="x"))+(($C23=$C$10)*($T$10="x"))+(($C23=$C$11)*($T$11="x")), WORKDAY.INTL(S23,SUM($U$4,T23),1,holidays!A$4:A$1503),S23)</f>
        <v>45258</v>
      </c>
      <c r="V23" s="15"/>
      <c r="W23" s="18">
        <f>IF((($C23=$C$8)*($V$8="x"))+(($C23=$C$9)*($V$9="x"))+(($C23=$C$10)*($V$10="x"))+(($C23=$C$11)*($V$11="x")), WORKDAY.INTL(U23,SUM($W$4,V23),1,holidays!A$4:A$1503),U23)</f>
        <v>45260</v>
      </c>
      <c r="X23" s="15"/>
      <c r="Y23" s="18">
        <f>IF((($C23=$C$8)*($X$8="x"))+(($C23=$C$9)*($X$9="x"))+(($C23=$C$10)*($X$10="x"))+(($C23=$C$11)*($X$11="x")), WORKDAY.INTL(W23,SUM($Y$4,X23),1,holidays!A$4:A$1503),W23)</f>
        <v>45261</v>
      </c>
      <c r="Z23" s="15"/>
      <c r="AA23" s="18">
        <f>IF((($C23=$C$8)*($Z$8="x"))+(($C23=$C$9)*($Z$9="x"))+(($C23=$C$10)*($Z$10="x"))+(($C23=$C$11)*($Z$11="x")), WORKDAY.INTL(Y23,SUM($AA$4,Z23),1,holidays!A$4:A$1503),Y23)</f>
        <v>45267</v>
      </c>
      <c r="AB23" s="15"/>
      <c r="AC23" s="18">
        <f>IF((($C23=$C$8)*($AB$8="x"))+(($C23=$C$9)*($AB$9="x"))+(($C23=$C$10)*($AB$10="x"))+(($C23=$C$11)*($AB$11="x")), WORKDAY.INTL(AA23,SUM($AC$4,AB23),1,holidays!A$4:A$1503),AA23)</f>
        <v>45268</v>
      </c>
      <c r="AD23" s="15"/>
      <c r="AE23" s="18">
        <f>IF((($C23=$C$8)*($AD$8="x"))+(($C23=$C$9)*($AD$9="x"))+(($C23=$C$10)*($AD$10="x"))+(($C23=$C$11)*($AD$11="x")), WORKDAY.INTL(AC23,SUM($AE$4,AD23),1,holidays!A$4:A$1503),AC23)</f>
        <v>45273</v>
      </c>
      <c r="AF23" s="15"/>
      <c r="AG23" s="18">
        <f>IF((($C23=$C$8)*($AF$8="x"))+(($C23=$C$9)*($AF$9="x"))+(($C23=$C$10)*($AF$10="x"))+(($C23=$C$11)*($AF$11="x")), WORKDAY.INTL(AE23,SUM($AG$4,AF23),1,holidays!A$4:A$1503),AE23)</f>
        <v>45275</v>
      </c>
      <c r="AH23" s="15"/>
      <c r="AI23" s="18">
        <f>IF((($C23=$C$8)*($AH$8="x"))+(($C23=$C$9)*($AH$9="x"))+(($C23=$C$10)*($AH$10="x"))+(($C23=$C$11)*($AH$11="x")), WORKDAY.INTL(AG23,SUM($AI$4,AH23),1,holidays!A$4:A$1503),AG23)</f>
        <v>45278</v>
      </c>
      <c r="AJ23" s="15"/>
      <c r="AK23" s="18">
        <f>IF((($C23=$C$8)*($AJ$8="x"))+(($C23=$C$9)*($AJ$9="x"))+(($C23=$C$10)*($AJ$10="x"))+(($C23=$C$11)*($AJ$11="x")), WORKDAY.INTL(AI23,SUM($AK$4,AJ23),1,holidays!A$4:A$1503),AI23)</f>
        <v>45281</v>
      </c>
      <c r="AL23" s="15"/>
      <c r="AM23" s="18">
        <f>IF((($C23=$C$8)*($AL$8="x"))+(($C23=$C$9)*($AL$9="x"))+(($C23=$C$10)*($AL$10="x"))+(($C23=$C$11)*($AL$11="x")), WORKDAY.INTL(AK23,SUM($AM$4,AL23),1,holidays!A$4:A$1503),AK23)</f>
        <v>45299</v>
      </c>
      <c r="AN23" s="15"/>
      <c r="AO23" s="18">
        <f>IF((($C23=$C$8)*($AN$8="x"))+(($C23=$C$9)*($AN$9="x"))+(($C23=$C$10)*($AN$10="x"))+(($C23=$C$11)*($AN$11="x")), WORKDAY.INTL(AM23,SUM($AO$4,AN23),1,holidays!A$4:A$1503),AM23)</f>
        <v>45303</v>
      </c>
      <c r="AP23" s="15"/>
      <c r="AQ23" s="18">
        <f>IF((($C23=$C$8)*($AP$8="x"))+(($C23=$C$9)*($AP$9="x"))+(($C23=$C$10)*($AP$10="x"))+(($C23=$C$11)*($AP$11="x")), WORKDAY.INTL(AO23,SUM($AQ$4,AP23),1,holidays!A$4:A$1503),AO23)</f>
        <v>45306</v>
      </c>
      <c r="AR23" s="15"/>
      <c r="AS23" s="18">
        <f>IF((($C23=$C$8)*($AR$8="x"))+(($C23=$C$9)*($AR$9="x"))+(($C23=$C$10)*($AR$10="x"))+(($C23=$C$11)*($AR$11="x")), WORKDAY.INTL(AQ23,SUM($AS$4,AR23),1,holidays!A$4:A$1503),AQ23)</f>
        <v>45308</v>
      </c>
      <c r="AT23" s="15"/>
      <c r="AU23" s="18">
        <f>IF((($C23=$C$8)*($AT$8="x"))+(($C23=$C$9)*($AT$9="x"))+(($C23=$C$10)*($AT$10="x"))+(($C23=$C$11)*($AT$11="x")), WORKDAY.INTL(AS23,SUM($AU$4,AT23),1,holidays!A$4:A$1503),AS23)</f>
        <v>45308</v>
      </c>
      <c r="AV23" s="15"/>
      <c r="AW23" s="15"/>
    </row>
    <row r="44" spans="9:29" ht="15" customHeight="1">
      <c r="I44" s="41">
        <v>45</v>
      </c>
      <c r="J44" s="41"/>
      <c r="K44" s="41" t="s">
        <v>526</v>
      </c>
      <c r="L44" s="41"/>
      <c r="M44" s="41"/>
      <c r="N44" s="41"/>
      <c r="O44" s="41"/>
      <c r="P44" s="41"/>
      <c r="Q44" s="41"/>
      <c r="R44" s="41"/>
      <c r="S44" s="41"/>
      <c r="T44" s="41"/>
      <c r="U44" s="41"/>
      <c r="V44" s="41"/>
    </row>
    <row r="45" spans="9:29" ht="15" customHeight="1">
      <c r="I45" s="41">
        <v>338</v>
      </c>
      <c r="J45" s="41">
        <f>I45/40</f>
        <v>8.4499999999999993</v>
      </c>
      <c r="K45" s="41">
        <v>9</v>
      </c>
      <c r="L45" s="41">
        <f>K45*40</f>
        <v>360</v>
      </c>
      <c r="M45" s="44"/>
      <c r="N45" s="44">
        <v>12</v>
      </c>
      <c r="O45" s="44">
        <f>N45/8</f>
        <v>1.5</v>
      </c>
      <c r="P45" s="44" t="s">
        <v>527</v>
      </c>
      <c r="Q45" s="44"/>
      <c r="R45" s="44"/>
      <c r="S45" s="44"/>
      <c r="T45" s="44" t="s">
        <v>528</v>
      </c>
      <c r="U45" s="44"/>
      <c r="V45" s="44"/>
      <c r="W45" s="84"/>
      <c r="X45" s="84"/>
      <c r="Y45" s="84"/>
      <c r="Z45" s="84"/>
      <c r="AA45" s="84"/>
      <c r="AB45" s="84"/>
      <c r="AC45" s="84"/>
    </row>
    <row r="46" spans="9:29" ht="15" customHeight="1">
      <c r="I46" s="41"/>
      <c r="J46" s="41"/>
      <c r="K46" s="41"/>
      <c r="L46" s="41"/>
      <c r="M46" s="44"/>
      <c r="N46" s="44"/>
      <c r="O46" s="44"/>
      <c r="P46" s="44"/>
      <c r="Q46" s="44"/>
      <c r="R46" s="44"/>
      <c r="S46" s="44"/>
      <c r="T46" s="44"/>
      <c r="U46" s="44"/>
      <c r="V46" s="44"/>
      <c r="W46" s="84"/>
      <c r="X46" s="84"/>
      <c r="Y46" s="84"/>
      <c r="Z46" s="84"/>
      <c r="AA46" s="84"/>
      <c r="AB46" s="84"/>
      <c r="AC46" s="84"/>
    </row>
    <row r="47" spans="9:29" ht="15" customHeight="1">
      <c r="I47" s="41"/>
      <c r="J47" s="41"/>
      <c r="K47" s="41"/>
      <c r="L47" s="41"/>
      <c r="M47" s="44"/>
      <c r="N47" s="44"/>
      <c r="O47" s="44"/>
      <c r="P47" s="44"/>
      <c r="Q47" s="44"/>
      <c r="R47" s="44"/>
      <c r="S47" s="44"/>
      <c r="T47" s="44" t="s">
        <v>529</v>
      </c>
      <c r="U47" s="130" t="s">
        <v>530</v>
      </c>
      <c r="V47" s="44" t="s">
        <v>531</v>
      </c>
      <c r="W47" s="84"/>
      <c r="X47" s="84"/>
      <c r="Y47" s="84"/>
      <c r="Z47" s="84"/>
      <c r="AA47" s="84"/>
      <c r="AB47" s="84"/>
      <c r="AC47" s="84"/>
    </row>
    <row r="48" spans="9:29" ht="15" customHeight="1">
      <c r="I48" s="41"/>
      <c r="J48" s="41"/>
      <c r="K48" s="41"/>
      <c r="L48" s="41"/>
      <c r="M48" s="44"/>
      <c r="N48" s="44"/>
      <c r="O48" s="44"/>
      <c r="P48" s="44"/>
      <c r="Q48" s="44"/>
      <c r="R48" s="44"/>
      <c r="S48" s="44" t="s">
        <v>532</v>
      </c>
      <c r="T48" s="44">
        <v>113</v>
      </c>
      <c r="U48" s="44">
        <v>37</v>
      </c>
      <c r="V48" s="44">
        <v>24</v>
      </c>
      <c r="W48" s="84"/>
      <c r="X48" s="84"/>
      <c r="Y48" s="84"/>
      <c r="Z48" s="84"/>
      <c r="AA48" s="84"/>
      <c r="AB48" s="84"/>
      <c r="AC48" s="84"/>
    </row>
    <row r="49" spans="9:22" ht="15" customHeight="1">
      <c r="I49" s="41"/>
      <c r="J49" s="41"/>
      <c r="K49" s="41"/>
      <c r="L49" s="41"/>
      <c r="M49" s="41"/>
      <c r="N49" s="41"/>
      <c r="O49" s="41"/>
      <c r="P49" s="41"/>
      <c r="Q49" s="41" t="s">
        <v>533</v>
      </c>
      <c r="R49" s="41"/>
      <c r="S49" s="41" t="s">
        <v>534</v>
      </c>
      <c r="T49" s="41">
        <f>T48/8</f>
        <v>14.125</v>
      </c>
      <c r="U49" s="41"/>
      <c r="V49" s="41"/>
    </row>
    <row r="50" spans="9:22" ht="15" customHeight="1">
      <c r="I50" s="41"/>
      <c r="J50" s="41"/>
      <c r="K50" s="41">
        <v>9</v>
      </c>
      <c r="L50" s="41" t="s">
        <v>535</v>
      </c>
      <c r="M50" s="41"/>
      <c r="N50" s="41"/>
      <c r="O50" s="41">
        <v>6</v>
      </c>
      <c r="P50" s="41" t="s">
        <v>536</v>
      </c>
      <c r="Q50" s="41">
        <v>8</v>
      </c>
      <c r="R50" s="41"/>
      <c r="S50" s="41" t="s">
        <v>537</v>
      </c>
      <c r="T50" s="41"/>
      <c r="U50" s="41"/>
      <c r="V50" s="41"/>
    </row>
    <row r="51" spans="9:22" ht="15" customHeight="1">
      <c r="I51" s="41"/>
      <c r="J51" s="41"/>
      <c r="K51" s="41"/>
      <c r="L51" s="41"/>
      <c r="M51" s="41"/>
      <c r="N51" s="41"/>
      <c r="O51" s="41">
        <v>7</v>
      </c>
      <c r="P51" s="41" t="s">
        <v>536</v>
      </c>
      <c r="Q51" s="41">
        <v>8</v>
      </c>
      <c r="R51" s="41"/>
      <c r="S51" s="41"/>
      <c r="T51" s="41">
        <f>T48/40</f>
        <v>2.8250000000000002</v>
      </c>
      <c r="U51" s="41"/>
      <c r="V51" s="41">
        <f>V48/8</f>
        <v>3</v>
      </c>
    </row>
    <row r="52" spans="9:22" ht="15" customHeight="1">
      <c r="I52" s="41"/>
      <c r="J52" s="41"/>
      <c r="K52" s="41"/>
      <c r="L52" s="41"/>
      <c r="M52" s="41"/>
      <c r="N52" s="41"/>
      <c r="O52" s="41">
        <v>1</v>
      </c>
      <c r="P52" s="41" t="s">
        <v>538</v>
      </c>
      <c r="Q52" s="41">
        <v>8</v>
      </c>
      <c r="R52" s="41"/>
      <c r="S52" s="41"/>
      <c r="T52" s="41"/>
      <c r="U52" s="41" t="s">
        <v>539</v>
      </c>
      <c r="V52" s="41">
        <v>18</v>
      </c>
    </row>
    <row r="53" spans="9:22" ht="15" customHeight="1">
      <c r="I53" s="41"/>
      <c r="J53" s="41"/>
      <c r="K53" s="41"/>
      <c r="L53" s="41"/>
      <c r="M53" s="41"/>
      <c r="N53" s="41"/>
      <c r="O53" s="41"/>
      <c r="P53" s="41"/>
      <c r="Q53" s="41">
        <f>SUM(Q50:Q52)</f>
        <v>24</v>
      </c>
      <c r="R53" s="41" t="s">
        <v>540</v>
      </c>
      <c r="S53" s="41">
        <v>4</v>
      </c>
      <c r="T53" s="41"/>
      <c r="U53" s="41"/>
      <c r="V53" s="41"/>
    </row>
    <row r="54" spans="9:22" ht="15" customHeight="1">
      <c r="I54" s="41"/>
      <c r="J54" s="41"/>
      <c r="K54" s="41"/>
      <c r="L54" s="41"/>
      <c r="M54" s="41"/>
      <c r="N54" s="41"/>
      <c r="O54" s="41"/>
      <c r="P54" s="41"/>
      <c r="Q54" s="41"/>
      <c r="R54" s="41" t="s">
        <v>541</v>
      </c>
      <c r="S54" s="41">
        <v>8</v>
      </c>
      <c r="T54" s="41"/>
      <c r="U54" s="41"/>
      <c r="V54" s="41"/>
    </row>
    <row r="55" spans="9:22" ht="15" customHeight="1">
      <c r="I55" s="41"/>
      <c r="J55" s="41"/>
      <c r="K55" s="41"/>
      <c r="L55" s="41"/>
      <c r="M55" s="41"/>
      <c r="N55" s="41"/>
      <c r="O55" s="41"/>
      <c r="P55" s="41"/>
      <c r="Q55" s="41"/>
      <c r="R55" s="41" t="s">
        <v>533</v>
      </c>
      <c r="S55" s="41">
        <v>3</v>
      </c>
      <c r="T55" s="41"/>
      <c r="U55" s="41"/>
      <c r="V55" s="41"/>
    </row>
    <row r="56" spans="9:22" ht="15" customHeight="1">
      <c r="I56" s="41"/>
      <c r="J56" s="41"/>
      <c r="K56" s="41"/>
      <c r="L56" s="41"/>
      <c r="M56" s="41"/>
      <c r="N56" s="41"/>
      <c r="O56" s="41"/>
      <c r="P56" s="41"/>
      <c r="Q56" s="41"/>
      <c r="R56" s="41" t="s">
        <v>165</v>
      </c>
      <c r="S56" s="41">
        <v>2</v>
      </c>
      <c r="T56" s="41"/>
      <c r="U56" s="41"/>
      <c r="V56" s="41"/>
    </row>
    <row r="57" spans="9:22" ht="15" customHeight="1">
      <c r="I57" s="41"/>
      <c r="J57" s="41"/>
      <c r="K57" s="41"/>
      <c r="L57" s="41"/>
      <c r="M57" s="41"/>
      <c r="N57" s="41"/>
      <c r="O57" s="41"/>
      <c r="P57" s="41"/>
      <c r="Q57" s="41"/>
      <c r="R57" s="41"/>
      <c r="S57" s="41">
        <v>80</v>
      </c>
      <c r="T57" s="41">
        <v>118</v>
      </c>
      <c r="U57" s="41">
        <v>178</v>
      </c>
      <c r="V57" s="131">
        <f>U57-T57</f>
        <v>60</v>
      </c>
    </row>
    <row r="58" spans="9:22" ht="15" customHeight="1">
      <c r="I58" s="41"/>
      <c r="J58" s="41"/>
      <c r="K58" s="41"/>
      <c r="L58" s="41"/>
      <c r="M58" s="41"/>
      <c r="N58" s="41"/>
      <c r="O58" s="41"/>
      <c r="P58" s="41"/>
      <c r="Q58" s="41"/>
      <c r="R58" s="41" t="s">
        <v>542</v>
      </c>
      <c r="S58" s="41"/>
      <c r="T58" s="41"/>
      <c r="U58" s="41"/>
      <c r="V58" s="41"/>
    </row>
  </sheetData>
  <mergeCells count="124">
    <mergeCell ref="B4:B6"/>
    <mergeCell ref="P5:Q5"/>
    <mergeCell ref="R6:S6"/>
    <mergeCell ref="R5:S5"/>
    <mergeCell ref="T6:U6"/>
    <mergeCell ref="T5:U5"/>
    <mergeCell ref="V6:W6"/>
    <mergeCell ref="V5:W5"/>
    <mergeCell ref="AV4:AW4"/>
    <mergeCell ref="AR6:AS6"/>
    <mergeCell ref="AT6:AU6"/>
    <mergeCell ref="AZ5:BJ5"/>
    <mergeCell ref="H6:I6"/>
    <mergeCell ref="J6:K6"/>
    <mergeCell ref="L6:M6"/>
    <mergeCell ref="AL5:AM5"/>
    <mergeCell ref="AN5:AO5"/>
    <mergeCell ref="AP5:AQ5"/>
    <mergeCell ref="AR5:AS5"/>
    <mergeCell ref="AT5:AU5"/>
    <mergeCell ref="AV5:AW5"/>
    <mergeCell ref="AD5:AE5"/>
    <mergeCell ref="AH5:AI5"/>
    <mergeCell ref="AJ5:AK5"/>
    <mergeCell ref="AL6:AM6"/>
    <mergeCell ref="AN6:AO6"/>
    <mergeCell ref="N6:O6"/>
    <mergeCell ref="N5:O5"/>
    <mergeCell ref="X6:Y6"/>
    <mergeCell ref="X5:Y5"/>
    <mergeCell ref="Z6:AA6"/>
    <mergeCell ref="Z5:AA5"/>
    <mergeCell ref="AB6:AC6"/>
    <mergeCell ref="AB5:AC5"/>
    <mergeCell ref="AP6:AQ6"/>
    <mergeCell ref="H8:I8"/>
    <mergeCell ref="J8:K8"/>
    <mergeCell ref="L8:M8"/>
    <mergeCell ref="N8:O8"/>
    <mergeCell ref="P8:Q8"/>
    <mergeCell ref="AF6:AG6"/>
    <mergeCell ref="AH6:AI6"/>
    <mergeCell ref="AJ6:AK6"/>
    <mergeCell ref="AP8:AQ8"/>
    <mergeCell ref="P6:Q6"/>
    <mergeCell ref="AR8:AS8"/>
    <mergeCell ref="AT8:AU8"/>
    <mergeCell ref="AD6:AE6"/>
    <mergeCell ref="AV8:AW8"/>
    <mergeCell ref="H9:I9"/>
    <mergeCell ref="J9:K9"/>
    <mergeCell ref="L9:M9"/>
    <mergeCell ref="N9:O9"/>
    <mergeCell ref="P9:Q9"/>
    <mergeCell ref="R9:S9"/>
    <mergeCell ref="AD8:AE8"/>
    <mergeCell ref="AF8:AG8"/>
    <mergeCell ref="AH8:AI8"/>
    <mergeCell ref="AJ8:AK8"/>
    <mergeCell ref="AL8:AM8"/>
    <mergeCell ref="AN8:AO8"/>
    <mergeCell ref="R8:S8"/>
    <mergeCell ref="T8:U8"/>
    <mergeCell ref="V8:W8"/>
    <mergeCell ref="X8:Y8"/>
    <mergeCell ref="Z8:AA8"/>
    <mergeCell ref="AB8:AC8"/>
    <mergeCell ref="AR9:AS9"/>
    <mergeCell ref="AT9:AU9"/>
    <mergeCell ref="AV9:AW9"/>
    <mergeCell ref="AJ9:AK9"/>
    <mergeCell ref="AL9:AM9"/>
    <mergeCell ref="H10:I10"/>
    <mergeCell ref="J10:K10"/>
    <mergeCell ref="L10:M10"/>
    <mergeCell ref="N10:O10"/>
    <mergeCell ref="P10:Q10"/>
    <mergeCell ref="R10:S10"/>
    <mergeCell ref="T10:U10"/>
    <mergeCell ref="AF9:AG9"/>
    <mergeCell ref="AH9:AI9"/>
    <mergeCell ref="AN9:AO9"/>
    <mergeCell ref="AP9:AQ9"/>
    <mergeCell ref="T9:U9"/>
    <mergeCell ref="V9:W9"/>
    <mergeCell ref="X9:Y9"/>
    <mergeCell ref="Z9:AA9"/>
    <mergeCell ref="AB9:AC9"/>
    <mergeCell ref="AD9:AE9"/>
    <mergeCell ref="AT10:AU10"/>
    <mergeCell ref="AV10:AW10"/>
    <mergeCell ref="AJ10:AK10"/>
    <mergeCell ref="AL10:AM10"/>
    <mergeCell ref="H11:I11"/>
    <mergeCell ref="J11:K11"/>
    <mergeCell ref="L11:M11"/>
    <mergeCell ref="N11:O11"/>
    <mergeCell ref="P11:Q11"/>
    <mergeCell ref="R11:S11"/>
    <mergeCell ref="T11:U11"/>
    <mergeCell ref="V11:W11"/>
    <mergeCell ref="AH10:AI10"/>
    <mergeCell ref="AN10:AO10"/>
    <mergeCell ref="AP10:AQ10"/>
    <mergeCell ref="AR10:AS10"/>
    <mergeCell ref="V10:W10"/>
    <mergeCell ref="X10:Y10"/>
    <mergeCell ref="Z10:AA10"/>
    <mergeCell ref="AB10:AC10"/>
    <mergeCell ref="AD10:AE10"/>
    <mergeCell ref="AF10:AG10"/>
    <mergeCell ref="AV11:AW11"/>
    <mergeCell ref="AJ11:AK11"/>
    <mergeCell ref="AL11:AM11"/>
    <mergeCell ref="AN11:AO11"/>
    <mergeCell ref="AP11:AQ11"/>
    <mergeCell ref="AR11:AS11"/>
    <mergeCell ref="AT11:AU11"/>
    <mergeCell ref="X11:Y11"/>
    <mergeCell ref="Z11:AA11"/>
    <mergeCell ref="AB11:AC11"/>
    <mergeCell ref="AD11:AE11"/>
    <mergeCell ref="AF11:AG11"/>
    <mergeCell ref="AH11:AI11"/>
  </mergeCells>
  <conditionalFormatting sqref="AZ6:BJ6 B13:B14 AV6 AT6">
    <cfRule type="expression" dxfId="16" priority="15">
      <formula>ROW()=CELL("Row")</formula>
    </cfRule>
  </conditionalFormatting>
  <conditionalFormatting sqref="O13:O23 Q13:Q23 S13:S23 U13:U23 W13:W23 Y13:Y23 AA13:AA23 AC13:AC23 AE13:AE23 AG13:AG23 AI13:AI23 AK13:AK23 AM13:AM23 AO13:AO23 AQ13:AQ23 AS13:AS23 AU13:AU23">
    <cfRule type="expression" dxfId="15" priority="14">
      <formula>(($C13=$C$8)*($N$8=""))+(($C13=$C$9)*($N$9=""))+(($C13=$C$10)*($N$10=""))+(($C13=$C$11)*($N$11=""))</formula>
    </cfRule>
  </conditionalFormatting>
  <conditionalFormatting sqref="L6 J6 N6 P6 R6 T6 V6 X6 Z6 AB6 AD6 AF6 AH6 AJ6 AL6 AN6 AP6 AR6">
    <cfRule type="expression" dxfId="14" priority="13">
      <formula>ROW()=CELL("Row")</formula>
    </cfRule>
  </conditionalFormatting>
  <conditionalFormatting sqref="H6">
    <cfRule type="expression" dxfId="13" priority="12">
      <formula>ROW()=CELL("Row")</formula>
    </cfRule>
  </conditionalFormatting>
  <conditionalFormatting sqref="B19 B21:B23">
    <cfRule type="expression" dxfId="12" priority="11">
      <formula>ROW()=CELL("Row")</formula>
    </cfRule>
  </conditionalFormatting>
  <conditionalFormatting sqref="I49:I119 K49:K119 M49:M119 I14:I23 K14:K23 M14:M23">
    <cfRule type="expression" dxfId="11" priority="9">
      <formula>$A14="C"</formula>
    </cfRule>
  </conditionalFormatting>
  <conditionalFormatting sqref="F45:L45 AD45:BQ45 F44:K44 M44:BQ44 F14:BQ43">
    <cfRule type="cellIs" dxfId="10" priority="5" operator="equal">
      <formula>0</formula>
    </cfRule>
  </conditionalFormatting>
  <conditionalFormatting sqref="B17:B19 B14 B21:B23">
    <cfRule type="expression" dxfId="9" priority="4">
      <formula>ROW()=CELL("Row")</formula>
    </cfRule>
  </conditionalFormatting>
  <conditionalFormatting sqref="B14">
    <cfRule type="expression" dxfId="8" priority="1">
      <formula>ROW()=CELL("Row")</formula>
    </cfRule>
  </conditionalFormatting>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2" id="{00000000-000E-0000-0000-000005000000}">
            <xm:f>Information!$A5="C"</xm:f>
            <x14:dxf>
              <font>
                <color rgb="FFFFFFFF"/>
              </font>
            </x14:dxf>
          </x14:cfRule>
          <xm:sqref>L44 I42:I48 K42:K48 M42:M44</xm:sqref>
        </x14:conditionalFormatting>
        <x14:conditionalFormatting xmlns:xm="http://schemas.microsoft.com/office/excel/2006/main">
          <x14:cfRule type="expression" priority="24" id="{00000000-000E-0000-0000-000005000000}">
            <xm:f>Information!$A4="C"</xm:f>
            <x14:dxf>
              <font>
                <color rgb="FFFFFFFF"/>
              </font>
            </x14:dxf>
          </x14:cfRule>
          <xm:sqref>I24:I41 K24:K41 M24:M41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DFD36-4536-4BE5-8544-3B96A8A11703}">
  <dimension ref="B1:AU33"/>
  <sheetViews>
    <sheetView showGridLines="0" topLeftCell="A20" workbookViewId="0">
      <selection activeCell="G31" sqref="A29:G31"/>
    </sheetView>
  </sheetViews>
  <sheetFormatPr defaultRowHeight="15" customHeight="1"/>
  <cols>
    <col min="1" max="1" width="2.28515625" bestFit="1" customWidth="1"/>
    <col min="2" max="2" width="40" customWidth="1"/>
    <col min="3" max="3" width="6.7109375" customWidth="1"/>
    <col min="4" max="4" width="13.28515625" customWidth="1"/>
    <col min="5" max="5" width="11.42578125" customWidth="1"/>
    <col min="6" max="6" width="12.42578125" customWidth="1"/>
    <col min="7" max="7" width="9.28515625" customWidth="1"/>
    <col min="8" max="8" width="5.7109375" customWidth="1"/>
    <col min="9" max="9" width="8.42578125" customWidth="1"/>
    <col min="10" max="10" width="14.7109375" customWidth="1"/>
    <col min="11" max="11" width="12" customWidth="1"/>
    <col min="12" max="13" width="12.7109375" customWidth="1"/>
    <col min="14" max="14" width="16.28515625" style="89" customWidth="1"/>
    <col min="15" max="15" width="10.28515625" style="89" customWidth="1"/>
    <col min="16" max="16" width="13" customWidth="1"/>
    <col min="17" max="17" width="22.28515625" bestFit="1" customWidth="1"/>
    <col min="18" max="18" width="11.42578125" bestFit="1" customWidth="1"/>
    <col min="19" max="19" width="14.42578125" bestFit="1" customWidth="1"/>
    <col min="20" max="20" width="16.42578125" bestFit="1" customWidth="1"/>
    <col min="21" max="21" width="10.42578125" bestFit="1" customWidth="1"/>
    <col min="22" max="22" width="19.42578125" bestFit="1" customWidth="1"/>
    <col min="23" max="23" width="17.28515625" bestFit="1" customWidth="1"/>
    <col min="24" max="24" width="21.28515625" bestFit="1" customWidth="1"/>
    <col min="25" max="25" width="18.7109375" bestFit="1" customWidth="1"/>
    <col min="26" max="26" width="19.28515625" bestFit="1" customWidth="1"/>
    <col min="27" max="27" width="11.42578125" bestFit="1" customWidth="1"/>
  </cols>
  <sheetData>
    <row r="1" spans="2:47" s="146" customFormat="1" ht="15" customHeight="1"/>
    <row r="2" spans="2:47" s="146" customFormat="1" ht="15" customHeight="1"/>
    <row r="3" spans="2:47" s="146" customFormat="1" ht="15" customHeight="1"/>
    <row r="4" spans="2:47" ht="14.45">
      <c r="F4" s="89"/>
    </row>
    <row r="5" spans="2:47" ht="14.45">
      <c r="E5" s="88"/>
      <c r="F5" s="88"/>
    </row>
    <row r="6" spans="2:47" ht="15" customHeight="1">
      <c r="D6" s="89"/>
      <c r="E6" s="89"/>
      <c r="S6" s="90"/>
    </row>
    <row r="7" spans="2:47" ht="15" customHeight="1">
      <c r="D7" s="89"/>
      <c r="E7" s="89"/>
      <c r="I7" s="181" t="s">
        <v>543</v>
      </c>
      <c r="J7" s="181"/>
      <c r="N7" s="184" t="s">
        <v>50</v>
      </c>
      <c r="O7" s="184"/>
      <c r="P7" s="184"/>
      <c r="Q7" s="184"/>
      <c r="R7" s="184"/>
      <c r="S7" s="184"/>
      <c r="T7" s="184"/>
      <c r="U7" s="184"/>
      <c r="V7" s="184"/>
      <c r="W7" s="184"/>
      <c r="X7" s="184"/>
      <c r="Y7" s="184"/>
      <c r="Z7" s="184"/>
      <c r="AA7" s="184"/>
      <c r="AB7" s="91" t="s">
        <v>491</v>
      </c>
      <c r="AE7" s="135"/>
    </row>
    <row r="8" spans="2:47" s="132" customFormat="1" ht="39" customHeight="1">
      <c r="D8" s="166" t="s">
        <v>26</v>
      </c>
      <c r="E8" s="166"/>
      <c r="F8" s="89"/>
      <c r="I8" s="182" t="s">
        <v>544</v>
      </c>
      <c r="J8" s="182"/>
      <c r="M8" s="92" t="s">
        <v>545</v>
      </c>
      <c r="N8" s="142" t="str" cm="1">
        <f t="array" ref="N8:AU8">IF(TRANSPOSE(Content!H10:H43)="", "", TRANSPOSE(Content!H10:H43))</f>
        <v>Javascript-Arrays</v>
      </c>
      <c r="O8" s="92" t="str">
        <v>Javascript ES6</v>
      </c>
      <c r="P8" s="92" t="str">
        <v>Typescript</v>
      </c>
      <c r="Q8" s="92" t="str">
        <v>Typescript-Development</v>
      </c>
      <c r="R8" s="92" t="str">
        <v>Angular-Basic</v>
      </c>
      <c r="S8" s="92" t="str">
        <v>Angular-Code</v>
      </c>
      <c r="T8" s="92" t="str">
        <v>Exercise  1</v>
      </c>
      <c r="U8" s="92" t="str">
        <v>Angular-Forms</v>
      </c>
      <c r="V8" s="92" t="str">
        <v>Angular-Forms-Material</v>
      </c>
      <c r="W8" s="92" t="str">
        <v>Exercise  2</v>
      </c>
      <c r="X8" s="92" t="str">
        <v>Angular.Code-Routing</v>
      </c>
      <c r="Y8" s="92" t="str">
        <v>Exercise 3</v>
      </c>
      <c r="Z8" s="92" t="str">
        <v>Angular-Full</v>
      </c>
      <c r="AA8" s="92" t="str">
        <v>Exercise 4</v>
      </c>
      <c r="AB8" s="92" t="str">
        <v>Angular-Test</v>
      </c>
      <c r="AC8" s="92" t="str">
        <v>Ejecicio 5</v>
      </c>
      <c r="AD8" s="92" t="str">
        <v>Final Project</v>
      </c>
      <c r="AE8" s="92" t="str">
        <v/>
      </c>
      <c r="AF8" s="92" t="str">
        <v/>
      </c>
      <c r="AG8" s="132" t="str">
        <v/>
      </c>
      <c r="AH8" s="132" t="str">
        <v/>
      </c>
      <c r="AI8" s="132" t="str">
        <v/>
      </c>
      <c r="AJ8" s="132" t="str">
        <v/>
      </c>
      <c r="AK8" s="132" t="str">
        <v/>
      </c>
      <c r="AL8" s="132" t="str">
        <v/>
      </c>
      <c r="AM8" s="132" t="str">
        <v/>
      </c>
      <c r="AN8" s="132" t="str">
        <v/>
      </c>
      <c r="AO8" s="132" t="str">
        <v/>
      </c>
      <c r="AP8" s="132" t="str">
        <v/>
      </c>
      <c r="AQ8" s="132" t="str">
        <v/>
      </c>
      <c r="AR8" s="132" t="str">
        <v/>
      </c>
      <c r="AS8" s="132" t="str">
        <v>Angular / .Net Core</v>
      </c>
      <c r="AT8" s="132" t="str">
        <v/>
      </c>
      <c r="AU8" s="132" t="str">
        <v/>
      </c>
    </row>
    <row r="9" spans="2:47" ht="14.45">
      <c r="I9" s="183" t="s">
        <v>546</v>
      </c>
      <c r="J9" s="183"/>
      <c r="M9" s="41">
        <v>64</v>
      </c>
      <c r="N9" s="143" cm="1">
        <f t="array" ref="N9:AU9">IF(TRANSPOSE(Content!L10:L43)="","",TRANSPOSE(Content!L10:L43))</f>
        <v>20</v>
      </c>
      <c r="O9" s="93">
        <v>10</v>
      </c>
      <c r="P9" s="44">
        <v>10</v>
      </c>
      <c r="Q9" s="44">
        <v>14</v>
      </c>
      <c r="R9" s="44">
        <v>14</v>
      </c>
      <c r="S9" s="44">
        <v>15</v>
      </c>
      <c r="T9" s="44">
        <v>16</v>
      </c>
      <c r="U9" s="44">
        <v>13</v>
      </c>
      <c r="V9" s="44">
        <v>20</v>
      </c>
      <c r="W9" s="44">
        <v>16</v>
      </c>
      <c r="X9" s="44">
        <v>8</v>
      </c>
      <c r="Y9" s="44">
        <v>24</v>
      </c>
      <c r="Z9" s="44">
        <v>60</v>
      </c>
      <c r="AA9" s="44">
        <v>32</v>
      </c>
      <c r="AB9" s="44">
        <v>8</v>
      </c>
      <c r="AC9" s="44">
        <v>18</v>
      </c>
      <c r="AD9" s="41">
        <v>60</v>
      </c>
      <c r="AE9" s="41" t="str">
        <v/>
      </c>
      <c r="AF9" s="41" t="str">
        <v/>
      </c>
      <c r="AG9" t="str">
        <v/>
      </c>
      <c r="AH9" t="str">
        <v/>
      </c>
      <c r="AI9" t="str">
        <v/>
      </c>
      <c r="AJ9" t="str">
        <v/>
      </c>
      <c r="AK9" t="str">
        <v/>
      </c>
      <c r="AL9" t="str">
        <v/>
      </c>
      <c r="AM9" t="str">
        <v/>
      </c>
      <c r="AN9" t="str">
        <v/>
      </c>
      <c r="AO9">
        <v>34</v>
      </c>
      <c r="AP9">
        <v>45</v>
      </c>
      <c r="AQ9" t="str">
        <v/>
      </c>
      <c r="AR9" t="str">
        <v/>
      </c>
      <c r="AS9">
        <v>16</v>
      </c>
      <c r="AT9" t="str">
        <v/>
      </c>
      <c r="AU9" t="str">
        <v/>
      </c>
    </row>
    <row r="10" spans="2:47" ht="14.45">
      <c r="D10" s="185" t="s">
        <v>547</v>
      </c>
      <c r="E10" s="185" t="s">
        <v>548</v>
      </c>
      <c r="F10" s="185" t="s">
        <v>549</v>
      </c>
      <c r="G10" s="185" t="s">
        <v>550</v>
      </c>
      <c r="H10" s="94"/>
      <c r="I10" s="94" t="s">
        <v>27</v>
      </c>
      <c r="M10" s="93">
        <f>M9/8</f>
        <v>8</v>
      </c>
      <c r="N10" s="143">
        <f>N9/8</f>
        <v>2.5</v>
      </c>
      <c r="O10" s="93">
        <f t="shared" ref="O10:AE10" si="0">O9/8</f>
        <v>1.25</v>
      </c>
      <c r="P10" s="44">
        <f>P9/8</f>
        <v>1.25</v>
      </c>
      <c r="Q10" s="44">
        <f t="shared" si="0"/>
        <v>1.75</v>
      </c>
      <c r="R10" s="44">
        <f t="shared" si="0"/>
        <v>1.75</v>
      </c>
      <c r="S10" s="44">
        <f t="shared" si="0"/>
        <v>1.875</v>
      </c>
      <c r="T10" s="44">
        <f t="shared" si="0"/>
        <v>2</v>
      </c>
      <c r="U10" s="44">
        <f t="shared" si="0"/>
        <v>1.625</v>
      </c>
      <c r="V10" s="44">
        <f t="shared" si="0"/>
        <v>2.5</v>
      </c>
      <c r="W10" s="44">
        <f t="shared" si="0"/>
        <v>2</v>
      </c>
      <c r="X10" s="44">
        <f t="shared" si="0"/>
        <v>1</v>
      </c>
      <c r="Y10" s="44">
        <f t="shared" si="0"/>
        <v>3</v>
      </c>
      <c r="Z10" s="44">
        <f t="shared" si="0"/>
        <v>7.5</v>
      </c>
      <c r="AA10" s="44">
        <f t="shared" si="0"/>
        <v>4</v>
      </c>
      <c r="AB10" s="44">
        <f t="shared" si="0"/>
        <v>1</v>
      </c>
      <c r="AC10" s="44">
        <f t="shared" si="0"/>
        <v>2.25</v>
      </c>
      <c r="AD10" s="44">
        <f t="shared" si="0"/>
        <v>7.5</v>
      </c>
      <c r="AE10" s="44" t="e">
        <f t="shared" si="0"/>
        <v>#VALUE!</v>
      </c>
      <c r="AF10" s="44"/>
    </row>
    <row r="11" spans="2:47" ht="14.45">
      <c r="D11" s="185"/>
      <c r="E11" s="185"/>
      <c r="F11" s="185"/>
      <c r="G11" s="185"/>
      <c r="H11" s="187" t="s">
        <v>551</v>
      </c>
      <c r="I11" s="187" t="s">
        <v>39</v>
      </c>
      <c r="J11" s="95"/>
      <c r="K11" s="95"/>
      <c r="L11" s="95"/>
      <c r="M11" s="141"/>
      <c r="N11" s="143"/>
      <c r="O11" s="93"/>
      <c r="P11" s="93"/>
      <c r="Q11" s="93"/>
      <c r="R11" s="93"/>
      <c r="S11" s="93"/>
      <c r="T11" s="93"/>
      <c r="U11" s="93"/>
      <c r="V11" s="93"/>
      <c r="W11" s="93"/>
      <c r="X11" s="93"/>
      <c r="Y11" s="93"/>
      <c r="Z11" s="93"/>
      <c r="AA11" s="93"/>
      <c r="AB11" s="44"/>
      <c r="AC11" s="44"/>
      <c r="AD11" s="41"/>
      <c r="AE11" s="41"/>
      <c r="AF11" s="41"/>
    </row>
    <row r="12" spans="2:47" ht="14.45">
      <c r="D12" s="185"/>
      <c r="E12" s="185"/>
      <c r="F12" s="185"/>
      <c r="G12" s="185"/>
      <c r="H12" s="187"/>
      <c r="I12" s="187"/>
      <c r="J12" s="95"/>
      <c r="K12" s="95"/>
      <c r="L12" s="95"/>
      <c r="M12" s="95"/>
    </row>
    <row r="13" spans="2:47" ht="48">
      <c r="C13" s="96" t="s">
        <v>507</v>
      </c>
      <c r="D13" s="186"/>
      <c r="E13" s="186"/>
      <c r="F13" s="186"/>
      <c r="G13" s="186"/>
      <c r="H13" s="188"/>
      <c r="I13" s="187"/>
      <c r="J13" s="97" t="s">
        <v>552</v>
      </c>
      <c r="K13" s="95" t="s">
        <v>553</v>
      </c>
      <c r="L13" s="95" t="s">
        <v>554</v>
      </c>
      <c r="M13" s="95"/>
    </row>
    <row r="14" spans="2:47" ht="15" customHeight="1">
      <c r="B14" s="122" t="s">
        <v>516</v>
      </c>
      <c r="C14" s="15"/>
      <c r="D14" s="17"/>
      <c r="E14" s="17">
        <v>45034</v>
      </c>
      <c r="F14" s="17">
        <f>WORKDAY.INTL(E14,$I14,1,holidays!A:A)</f>
        <v>45086</v>
      </c>
      <c r="G14" s="98" cm="1">
        <f t="array" ref="G14">SUM(IF((N14:AC14="f"),LEN(N14:AC14),0))</f>
        <v>0</v>
      </c>
      <c r="H14" s="99" cm="1">
        <f t="array" ref="H14">SUM(LEN(N14:AC14))</f>
        <v>16</v>
      </c>
      <c r="I14" s="100" cm="1">
        <f t="array" ref="I14">SUM(IF((N14:AC14="x")+(N14:AC14="f"),$N$10:$AC$10,0))</f>
        <v>37.25</v>
      </c>
      <c r="J14" s="162">
        <f>IF(G14=0,0,(G14/H14))</f>
        <v>0</v>
      </c>
      <c r="K14" s="101" t="str" cm="1">
        <f t="array" ref="K14">IF(E14="","",INDEX(N$8:AA$8,MATCH(TRUE,INDEX((N14:AA14="x"),),0)))</f>
        <v>Javascript-Arrays</v>
      </c>
      <c r="L14" s="137" cm="1">
        <f t="array" ref="L14">IF(E14="","",WORKDAY.INTL(E14,SUM(IF((N14:AC14="f"),$N$10:$AC$10,0))+INDEX($N$10:$AC$10,MATCH(TRUE,INDEX((N14:AC14="x"),),0)),1,holidays!$A$4:$A$1503))</f>
        <v>45036</v>
      </c>
      <c r="M14" s="136"/>
      <c r="N14" s="138" t="s">
        <v>51</v>
      </c>
      <c r="O14" s="44" t="s">
        <v>51</v>
      </c>
      <c r="P14" s="125" t="s">
        <v>51</v>
      </c>
      <c r="Q14" s="44" t="s">
        <v>51</v>
      </c>
      <c r="R14" s="42" t="s">
        <v>51</v>
      </c>
      <c r="S14" s="126" t="s">
        <v>51</v>
      </c>
      <c r="T14" s="42" t="s">
        <v>51</v>
      </c>
      <c r="U14" s="44" t="s">
        <v>51</v>
      </c>
      <c r="V14" s="42" t="s">
        <v>51</v>
      </c>
      <c r="W14" s="44" t="s">
        <v>51</v>
      </c>
      <c r="X14" s="42" t="s">
        <v>51</v>
      </c>
      <c r="Y14" s="44" t="s">
        <v>51</v>
      </c>
      <c r="Z14" s="67" t="s">
        <v>51</v>
      </c>
      <c r="AA14" s="44" t="s">
        <v>51</v>
      </c>
      <c r="AB14" s="42" t="s">
        <v>51</v>
      </c>
      <c r="AC14" s="133" t="s">
        <v>51</v>
      </c>
      <c r="AD14" s="42" t="s">
        <v>51</v>
      </c>
      <c r="AE14" s="42"/>
      <c r="AF14" s="42"/>
    </row>
    <row r="15" spans="2:47" ht="15" customHeight="1">
      <c r="B15" s="122" t="s">
        <v>555</v>
      </c>
      <c r="C15" s="15"/>
      <c r="D15" s="104"/>
      <c r="E15" s="17">
        <v>45079</v>
      </c>
      <c r="F15" s="17">
        <f>WORKDAY.INTL(E15,$I15,1,holidays!A:A)</f>
        <v>45121</v>
      </c>
      <c r="G15" s="98" cm="1">
        <f t="array" ref="G15">SUM(IF((M15:AF15="f"),LEN(M15:AF15),0))</f>
        <v>9</v>
      </c>
      <c r="H15" s="99" cm="1">
        <f t="array" ref="H15">SUM(LEN(M15:AC15))</f>
        <v>11</v>
      </c>
      <c r="I15" s="100" cm="1">
        <f t="array" ref="I15">SUM(IF((M15:AC15="x")+(M15:AC15="f"),$M$10:$AC$10,0))</f>
        <v>29</v>
      </c>
      <c r="J15" s="162">
        <f>IF(G15=0,0,(G15/H15))</f>
        <v>0.81818181818181823</v>
      </c>
      <c r="K15" s="101" t="str" cm="1">
        <f t="array" ref="K15">IF(E15="","",INDEX(N$8:AA$8,MATCH(TRUE,INDEX((N15:AA15="x"),),0)))</f>
        <v>Angular.Code-Routing</v>
      </c>
      <c r="L15" s="137" cm="1">
        <f t="array" ref="L15">IF(E15="","",WORKDAY.INTL(E15,SUM(IF((N15:AC15="f"),$N$10:$AC$10,0))+INDEX($N$10:$AC$10,MATCH(TRUE,INDEX((N15:AC15="x"),),0)),1,holidays!$A$4:$A$1503))</f>
        <v>45104</v>
      </c>
      <c r="M15" s="136" t="s">
        <v>51</v>
      </c>
      <c r="N15" s="138"/>
      <c r="O15" s="44"/>
      <c r="P15" s="42" t="s">
        <v>556</v>
      </c>
      <c r="Q15" s="44"/>
      <c r="R15" s="42" t="s">
        <v>556</v>
      </c>
      <c r="S15" s="44" t="s">
        <v>556</v>
      </c>
      <c r="T15" s="42" t="s">
        <v>556</v>
      </c>
      <c r="U15" s="44" t="s">
        <v>556</v>
      </c>
      <c r="V15" s="42" t="s">
        <v>556</v>
      </c>
      <c r="W15" s="44" t="s">
        <v>556</v>
      </c>
      <c r="X15" s="42" t="s">
        <v>51</v>
      </c>
      <c r="Y15" s="44" t="s">
        <v>556</v>
      </c>
      <c r="Z15" s="67"/>
      <c r="AA15" s="44" t="s">
        <v>51</v>
      </c>
      <c r="AB15" s="42"/>
      <c r="AC15" s="133"/>
      <c r="AD15" s="42"/>
      <c r="AE15" s="42" t="s">
        <v>556</v>
      </c>
      <c r="AF15" s="42"/>
      <c r="AG15" s="25"/>
      <c r="AH15" s="25"/>
      <c r="AI15" s="25"/>
      <c r="AJ15" s="25"/>
      <c r="AK15" s="25"/>
      <c r="AL15" s="25"/>
      <c r="AM15" s="8"/>
      <c r="AN15" s="25"/>
      <c r="AO15" s="25"/>
    </row>
    <row r="16" spans="2:47" ht="15.6">
      <c r="B16" s="122" t="s">
        <v>557</v>
      </c>
      <c r="C16" s="15"/>
      <c r="D16" s="104"/>
      <c r="E16" s="104">
        <v>45197</v>
      </c>
      <c r="F16" s="17">
        <f>WORKDAY.INTL(E16,$I16,1,holidays!A:A)</f>
        <v>45246</v>
      </c>
      <c r="G16" s="98" cm="1">
        <f t="array" ref="G16">SUM(IF((N16:AC16="f"),LEN(N16:AC16),0))</f>
        <v>0</v>
      </c>
      <c r="H16" s="99" cm="1">
        <f t="array" ref="H16">SUM(LEN(N16:AC16))</f>
        <v>14</v>
      </c>
      <c r="I16" s="100" cm="1">
        <f t="array" ref="I16">SUM(IF((N16:AC16="x")+(N16:AC16="f"),$N$10:$AC$10,0))</f>
        <v>34.25</v>
      </c>
      <c r="J16" s="162">
        <f t="shared" ref="J16:J20" si="1">IF(G16=0,0,(G16/H16))</f>
        <v>0</v>
      </c>
      <c r="K16" s="101" t="str" cm="1">
        <f t="array" ref="K16">IF(E16="","",INDEX(N$8:AA$8,MATCH(TRUE,INDEX((N16:AA16="x"),),0)))</f>
        <v>Javascript-Arrays</v>
      </c>
      <c r="L16" s="137" cm="1">
        <f t="array" ref="L16">IF(E16="","",WORKDAY.INTL(E16,SUM(IF((N16:AC16="f"),$N$10:$AC$10,0))+INDEX($N$10:$AC$10,MATCH(TRUE,INDEX((N16:AC16="x"),),0)),1,holidays!$A$4:$A$1503))</f>
        <v>45201</v>
      </c>
      <c r="M16" s="136"/>
      <c r="N16" s="42" t="s">
        <v>51</v>
      </c>
      <c r="O16" s="44"/>
      <c r="P16" s="42" t="s">
        <v>51</v>
      </c>
      <c r="Q16" s="44"/>
      <c r="R16" s="42" t="s">
        <v>51</v>
      </c>
      <c r="S16" s="44" t="s">
        <v>51</v>
      </c>
      <c r="T16" s="42" t="s">
        <v>51</v>
      </c>
      <c r="U16" s="44" t="s">
        <v>51</v>
      </c>
      <c r="V16" s="42" t="s">
        <v>51</v>
      </c>
      <c r="W16" s="44" t="s">
        <v>51</v>
      </c>
      <c r="X16" s="42" t="s">
        <v>51</v>
      </c>
      <c r="Y16" s="44" t="s">
        <v>51</v>
      </c>
      <c r="Z16" s="42" t="s">
        <v>51</v>
      </c>
      <c r="AA16" s="44" t="s">
        <v>51</v>
      </c>
      <c r="AB16" s="42" t="s">
        <v>51</v>
      </c>
      <c r="AC16" s="44" t="s">
        <v>51</v>
      </c>
      <c r="AD16" s="42" t="s">
        <v>51</v>
      </c>
      <c r="AE16" s="41"/>
      <c r="AF16" s="41"/>
    </row>
    <row r="17" spans="2:32" ht="15.6">
      <c r="B17" s="122" t="s">
        <v>558</v>
      </c>
      <c r="E17" s="104">
        <v>45201</v>
      </c>
      <c r="F17" s="17">
        <f>WORKDAY.INTL(E17,$I17,1,holidays!A:A)</f>
        <v>45251</v>
      </c>
      <c r="G17" s="98" cm="1">
        <f t="array" ref="G17">SUM(IF((N17:AC17="f"),LEN(N17:AC17),0))</f>
        <v>0</v>
      </c>
      <c r="H17" s="99" cm="1">
        <f t="array" ref="H17">SUM(LEN(N17:AC17))</f>
        <v>14</v>
      </c>
      <c r="I17" s="100" cm="1">
        <f t="array" ref="I17">SUM(IF((N17:AC17="x")+(N17:AC17="f"),$N$10:$AC$10,0))</f>
        <v>34.25</v>
      </c>
      <c r="J17" s="162">
        <f t="shared" ref="J17" si="2">IF(G17=0,0,(G17/H17))</f>
        <v>0</v>
      </c>
      <c r="K17" s="101" t="str" cm="1">
        <f t="array" ref="K17">IF(E17="","",INDEX(N$8:AA$8,MATCH(TRUE,INDEX((N17:AA17="x"),),0)))</f>
        <v>Javascript-Arrays</v>
      </c>
      <c r="L17" s="137" cm="1">
        <f t="array" ref="L17">IF(E17="","",WORKDAY.INTL(E17,SUM(IF((N17:AC17="f"),$N$10:$AC$10,0))+INDEX($N$10:$AC$10,MATCH(TRUE,INDEX((N17:AC17="x"),),0)),1,holidays!$A$4:$A$1503))</f>
        <v>45203</v>
      </c>
      <c r="N17" s="42" t="s">
        <v>51</v>
      </c>
      <c r="O17" s="44"/>
      <c r="P17" s="42" t="s">
        <v>51</v>
      </c>
      <c r="Q17" s="44"/>
      <c r="R17" s="42" t="s">
        <v>51</v>
      </c>
      <c r="S17" s="44" t="s">
        <v>51</v>
      </c>
      <c r="T17" s="42" t="s">
        <v>51</v>
      </c>
      <c r="U17" s="44" t="s">
        <v>51</v>
      </c>
      <c r="V17" s="42" t="s">
        <v>51</v>
      </c>
      <c r="W17" s="44" t="s">
        <v>51</v>
      </c>
      <c r="X17" s="42" t="s">
        <v>51</v>
      </c>
      <c r="Y17" s="44" t="s">
        <v>51</v>
      </c>
      <c r="Z17" s="42" t="s">
        <v>51</v>
      </c>
      <c r="AA17" s="44" t="s">
        <v>51</v>
      </c>
      <c r="AB17" s="42" t="s">
        <v>51</v>
      </c>
      <c r="AC17" s="44" t="s">
        <v>51</v>
      </c>
      <c r="AD17" s="42" t="s">
        <v>51</v>
      </c>
      <c r="AE17" s="41"/>
      <c r="AF17" s="41"/>
    </row>
    <row r="18" spans="2:32" ht="15.6">
      <c r="B18" s="122" t="s">
        <v>518</v>
      </c>
      <c r="C18" s="15"/>
      <c r="D18" s="17"/>
      <c r="E18" s="104">
        <v>45209</v>
      </c>
      <c r="F18" s="17">
        <f>WORKDAY.INTL(E18,$I18,1,holidays!A:A)</f>
        <v>45218</v>
      </c>
      <c r="G18" s="98" cm="1">
        <f t="array" ref="G18">SUM(IF((N18:AC18="f"),LEN(N18:AC18),0))</f>
        <v>0</v>
      </c>
      <c r="H18" s="99" cm="1">
        <f t="array" ref="H18">SUM(LEN(N18:AC18))</f>
        <v>3</v>
      </c>
      <c r="I18" s="100" cm="1">
        <f t="array" ref="I18">SUM(IF((N18:AC18="x")+(N18:AC18="f"),$N$10:$AC$10,0))</f>
        <v>7.25</v>
      </c>
      <c r="J18" s="162">
        <f t="shared" si="1"/>
        <v>0</v>
      </c>
      <c r="K18" s="101" t="str" cm="1">
        <f t="array" ref="K18">IF(E18="","",INDEX(N$8:AA$8,MATCH(TRUE,INDEX((N18:AA18="x"),),0)))</f>
        <v>Exercise 4</v>
      </c>
      <c r="L18" s="137" cm="1">
        <f t="array" ref="L18">IF(E18="","",WORKDAY.INTL(E18,SUM(IF((N18:AC18="f"),$N$10:$AC$10,0))+INDEX($N$10:$AC$10,MATCH(TRUE,INDEX((N18:AC18="x"),),0)),1,holidays!$A$4:$A$1503))</f>
        <v>45215</v>
      </c>
      <c r="M18" s="136"/>
      <c r="N18" s="139"/>
      <c r="O18" s="105"/>
      <c r="P18" s="106"/>
      <c r="Q18" s="106"/>
      <c r="R18" s="106"/>
      <c r="S18" s="106"/>
      <c r="T18" s="106"/>
      <c r="U18" s="106"/>
      <c r="V18" s="106"/>
      <c r="W18" s="106"/>
      <c r="X18" s="106"/>
      <c r="Y18" s="106"/>
      <c r="Z18" s="15"/>
      <c r="AA18" s="15" t="s">
        <v>51</v>
      </c>
      <c r="AB18" s="15" t="s">
        <v>51</v>
      </c>
      <c r="AC18" s="134" t="s">
        <v>51</v>
      </c>
      <c r="AD18" s="41" t="s">
        <v>51</v>
      </c>
      <c r="AE18" s="41"/>
      <c r="AF18" s="41"/>
    </row>
    <row r="19" spans="2:32" ht="15.6">
      <c r="B19" s="122"/>
      <c r="C19" s="15"/>
      <c r="D19" s="107"/>
      <c r="E19" s="17"/>
      <c r="F19" s="17">
        <f>WORKDAY.INTL(E19,$I19,1,holidays!A:A)</f>
        <v>0</v>
      </c>
      <c r="G19" s="98" cm="1">
        <f t="array" ref="G19">SUM(IF((N19:AC19="f"),LEN(N19:AC19),0))</f>
        <v>0</v>
      </c>
      <c r="H19" s="99" cm="1">
        <f t="array" ref="H19">SUM(LEN(N19:AC19))</f>
        <v>0</v>
      </c>
      <c r="I19" s="100" cm="1">
        <f t="array" ref="I19">SUM(IF((N19:AC19="x")+(N19:AC19="f"),$N$10:$AC$10,0))</f>
        <v>0</v>
      </c>
      <c r="J19" s="162">
        <f t="shared" si="1"/>
        <v>0</v>
      </c>
      <c r="K19" s="101" t="str" cm="1">
        <f t="array" ref="K19">IF(E19="","",INDEX(N$8:AA$8,MATCH(TRUE,INDEX((N19:AA19="x"),),0)))</f>
        <v/>
      </c>
      <c r="L19" s="137" t="str" cm="1">
        <f t="array" ref="L19">IF(E19="","",WORKDAY.INTL(E19,SUM(IF((N19:AC19="f"),$N$10:$AC$10,0))+INDEX($N$10:$AC$10,MATCH(TRUE,INDEX((N19:AC19="x"),),0)),1,holidays!$A$4:$A$1503))</f>
        <v/>
      </c>
      <c r="M19" s="136"/>
      <c r="N19" s="140"/>
      <c r="O19" s="102"/>
      <c r="P19" s="103"/>
      <c r="Q19" s="103"/>
      <c r="R19" s="103"/>
      <c r="S19" s="103"/>
      <c r="T19" s="103"/>
      <c r="U19" s="103"/>
      <c r="V19" s="103"/>
      <c r="W19" s="103"/>
      <c r="X19" s="103"/>
      <c r="Y19" s="103"/>
      <c r="Z19" s="103"/>
      <c r="AA19" s="103"/>
      <c r="AB19" s="103"/>
      <c r="AC19" s="134"/>
      <c r="AD19" s="41"/>
      <c r="AE19" s="41"/>
      <c r="AF19" s="41"/>
    </row>
    <row r="20" spans="2:32" ht="15.6">
      <c r="B20" s="122"/>
      <c r="C20" s="15"/>
      <c r="D20" s="17"/>
      <c r="E20" s="17"/>
      <c r="F20" s="17">
        <f>WORKDAY.INTL(E20,$I20,1,holidays!A:A)</f>
        <v>0</v>
      </c>
      <c r="G20" s="98" cm="1">
        <f t="array" ref="G20">SUM(IF((N20:AC20="f"),LEN(N20:AC20),0))</f>
        <v>0</v>
      </c>
      <c r="H20" s="99" cm="1">
        <f t="array" ref="H20">SUM(LEN(N20:AC20))</f>
        <v>0</v>
      </c>
      <c r="I20" s="100" cm="1">
        <f t="array" ref="I20">SUM(IF((N20:AC20="x")+(N20:AC20="f"),$N$10:$AC$10,0))</f>
        <v>0</v>
      </c>
      <c r="J20" s="162">
        <f t="shared" si="1"/>
        <v>0</v>
      </c>
      <c r="K20" s="101" t="str" cm="1">
        <f t="array" ref="K20">IF(E20="","",INDEX(N$8:AA$8,MATCH(TRUE,INDEX((N20:AA20="x"),),0)))</f>
        <v/>
      </c>
      <c r="L20" s="137" t="str" cm="1">
        <f t="array" ref="L20">IF(E20="","",WORKDAY.INTL(E20,SUM(IF((N20:AC20="f"),$N$10:$AC$10,0))+INDEX($N$10:$AC$10,MATCH(TRUE,INDEX((N20:AC20="x"),),0)),1,holidays!$A$4:$A$1503))</f>
        <v/>
      </c>
      <c r="M20" s="136"/>
      <c r="N20" s="139"/>
      <c r="O20" s="105"/>
      <c r="P20" s="106"/>
      <c r="Q20" s="106"/>
      <c r="R20" s="106"/>
      <c r="S20" s="106"/>
      <c r="T20" s="106"/>
      <c r="U20" s="106"/>
      <c r="V20" s="106"/>
      <c r="W20" s="106"/>
      <c r="X20" s="106"/>
      <c r="Y20" s="106"/>
      <c r="Z20" s="15"/>
      <c r="AA20" s="15"/>
      <c r="AB20" s="15"/>
      <c r="AC20" s="134"/>
      <c r="AD20" s="41"/>
      <c r="AE20" s="41"/>
      <c r="AF20" s="41"/>
    </row>
    <row r="21" spans="2:32" ht="15.6">
      <c r="B21" s="122" t="s">
        <v>559</v>
      </c>
      <c r="C21" s="15"/>
      <c r="D21" s="17"/>
      <c r="E21" s="17">
        <v>45133</v>
      </c>
      <c r="F21" s="17">
        <f>WORKDAY.INTL(E21,$I21,1,holidays!A:A)</f>
        <v>45141</v>
      </c>
      <c r="G21" s="98" cm="1">
        <f t="array" ref="G21">SUM(IF((N21:AC21="f"),LEN(N21:AC21),0))</f>
        <v>2</v>
      </c>
      <c r="H21" s="99" cm="1">
        <f t="array" ref="H21">SUM(LEN(N21:AC21))</f>
        <v>4</v>
      </c>
      <c r="I21" s="100" cm="1">
        <f t="array" ref="I21">SUM(IF((N21:AC21="x")+(N21:AC21="f"),$N$10:$AC$10,0))</f>
        <v>6.875</v>
      </c>
      <c r="J21" s="162">
        <f>IF(G21=0,0,(G21/H21))</f>
        <v>0.5</v>
      </c>
      <c r="K21" s="101" t="str" cm="1">
        <f t="array" ref="K21">IF(E21="","",INDEX(N$8:AA$8,MATCH(TRUE,INDEX((N21:AA21="x"),),0)))</f>
        <v>Angular-Code</v>
      </c>
      <c r="L21" s="137" cm="1">
        <f t="array" ref="L21">IF(E21="","",WORKDAY.INTL(E21,SUM(IF((N21:AC21="f"),$N$10:$AC$10,0))+INDEX($N$10:$AC$10,MATCH(TRUE,INDEX((N21:AC21="x"),),0)),1,holidays!$A$4:$A$1503))</f>
        <v>45139</v>
      </c>
      <c r="M21" s="136"/>
      <c r="N21" s="42"/>
      <c r="O21" s="44"/>
      <c r="P21" s="42" t="s">
        <v>556</v>
      </c>
      <c r="Q21" s="44"/>
      <c r="R21" s="42" t="s">
        <v>556</v>
      </c>
      <c r="S21" s="44" t="s">
        <v>51</v>
      </c>
      <c r="T21" s="42" t="s">
        <v>51</v>
      </c>
      <c r="U21" s="44"/>
      <c r="V21" s="42"/>
      <c r="W21" s="44"/>
      <c r="X21" s="42"/>
      <c r="Y21" s="44"/>
      <c r="Z21" s="42"/>
      <c r="AA21" s="44"/>
      <c r="AB21" s="42"/>
      <c r="AC21" s="44"/>
      <c r="AD21" s="42"/>
      <c r="AE21" s="47"/>
      <c r="AF21" s="41"/>
    </row>
    <row r="22" spans="2:32" ht="18">
      <c r="B22" s="108" t="s">
        <v>560</v>
      </c>
      <c r="C22" s="15"/>
      <c r="D22" s="17"/>
      <c r="E22" s="17">
        <v>45231</v>
      </c>
      <c r="F22" s="17">
        <f>WORKDAY.INTL(E22,$I22,1,holidays!A:A)</f>
        <v>45281</v>
      </c>
      <c r="G22" s="98" cm="1">
        <f t="array" ref="G22">SUM(IF((N22:AC22="f"),LEN(N22:AC22),0))</f>
        <v>0</v>
      </c>
      <c r="H22" s="99" cm="1">
        <f t="array" ref="H22">SUM(LEN(N22:AC22))</f>
        <v>14</v>
      </c>
      <c r="I22" s="100" cm="1">
        <f t="array" ref="I22">SUM(IF((N22:AC22="x")+(N22:AC22="f"),$N$10:$AC$10,0))</f>
        <v>34.25</v>
      </c>
      <c r="J22" s="162">
        <f>IF(G22=0,0,(G22/H22))</f>
        <v>0</v>
      </c>
      <c r="K22" s="161" t="str" cm="1">
        <f t="array" ref="K22">IF(E22="","",INDEX(N$8:AA$8,MATCH(TRUE,INDEX((N22:AA22="x"),),0)))</f>
        <v>Javascript-Arrays</v>
      </c>
      <c r="L22" s="137" cm="1">
        <f t="array" ref="L22">IF(E22="","",WORKDAY.INTL(E22,SUM(IF((N22:AC22="f"),$N$10:$AC$10,0))+INDEX($N$10:$AC$10,MATCH(TRUE,INDEX((N22:AC22="x"),),0)),1,holidays!$A$4:$A$1503))</f>
        <v>45233</v>
      </c>
      <c r="M22" s="136"/>
      <c r="N22" s="42" t="s">
        <v>51</v>
      </c>
      <c r="O22" s="44"/>
      <c r="P22" s="42" t="s">
        <v>51</v>
      </c>
      <c r="Q22" s="44"/>
      <c r="R22" s="42" t="s">
        <v>51</v>
      </c>
      <c r="S22" s="44" t="s">
        <v>51</v>
      </c>
      <c r="T22" s="42" t="s">
        <v>51</v>
      </c>
      <c r="U22" s="44" t="s">
        <v>51</v>
      </c>
      <c r="V22" s="42" t="s">
        <v>51</v>
      </c>
      <c r="W22" s="44" t="s">
        <v>51</v>
      </c>
      <c r="X22" s="42" t="s">
        <v>51</v>
      </c>
      <c r="Y22" s="44" t="s">
        <v>51</v>
      </c>
      <c r="Z22" s="42" t="s">
        <v>51</v>
      </c>
      <c r="AA22" s="44" t="s">
        <v>51</v>
      </c>
      <c r="AB22" s="42" t="s">
        <v>51</v>
      </c>
      <c r="AC22" s="44" t="s">
        <v>51</v>
      </c>
      <c r="AD22" s="42" t="s">
        <v>51</v>
      </c>
      <c r="AE22" s="47"/>
      <c r="AF22" s="41"/>
    </row>
    <row r="23" spans="2:32" ht="18">
      <c r="B23" s="108" t="s">
        <v>561</v>
      </c>
      <c r="C23" s="15"/>
      <c r="D23" s="17"/>
      <c r="E23" s="17">
        <v>45245</v>
      </c>
      <c r="F23" s="17">
        <f>WORKDAY.INTL(E23,$I23,1,holidays!A:A)</f>
        <v>45302</v>
      </c>
      <c r="G23" s="98" cm="1">
        <f t="array" ref="G23">SUM(IF((N23:AC23="f"),LEN(N23:AC23),0))</f>
        <v>0</v>
      </c>
      <c r="H23" s="99" cm="1">
        <f t="array" ref="H23">SUM(LEN(N23:AC23))</f>
        <v>14</v>
      </c>
      <c r="I23" s="100" cm="1">
        <f t="array" ref="I23">SUM(IF((N23:AC23="x")+(N23:AC23="f"),$N$10:$AC$10,0))</f>
        <v>34.25</v>
      </c>
      <c r="J23" s="162">
        <f>IF(G23=0,0,(G23/H23))</f>
        <v>0</v>
      </c>
      <c r="K23" s="161" t="str" cm="1">
        <f t="array" ref="K23">IF(E23="","",INDEX(N$8:AA$8,MATCH(TRUE,INDEX((N23:AA23="x"),),0)))</f>
        <v>Javascript-Arrays</v>
      </c>
      <c r="L23" s="137" cm="1">
        <f t="array" ref="L23">IF(E23="","",WORKDAY.INTL(E23,SUM(IF((N23:AC23="f"),$N$10:$AC$10,0))+INDEX($N$10:$AC$10,MATCH(TRUE,INDEX((N23:AC23="x"),),0)),1,holidays!$A$4:$A$1503))</f>
        <v>45247</v>
      </c>
      <c r="M23" s="136"/>
      <c r="N23" s="42" t="s">
        <v>51</v>
      </c>
      <c r="O23" s="44"/>
      <c r="P23" s="42" t="s">
        <v>51</v>
      </c>
      <c r="Q23" s="44"/>
      <c r="R23" s="42" t="s">
        <v>51</v>
      </c>
      <c r="S23" s="44" t="s">
        <v>51</v>
      </c>
      <c r="T23" s="42" t="s">
        <v>51</v>
      </c>
      <c r="U23" s="44" t="s">
        <v>51</v>
      </c>
      <c r="V23" s="42" t="s">
        <v>51</v>
      </c>
      <c r="W23" s="44" t="s">
        <v>51</v>
      </c>
      <c r="X23" s="42" t="s">
        <v>51</v>
      </c>
      <c r="Y23" s="44" t="s">
        <v>51</v>
      </c>
      <c r="Z23" s="42" t="s">
        <v>51</v>
      </c>
      <c r="AA23" s="44" t="s">
        <v>51</v>
      </c>
      <c r="AB23" s="42" t="s">
        <v>51</v>
      </c>
      <c r="AC23" s="44" t="s">
        <v>51</v>
      </c>
      <c r="AD23" s="42" t="s">
        <v>51</v>
      </c>
      <c r="AE23" s="47"/>
      <c r="AF23" s="41"/>
    </row>
    <row r="24" spans="2:32" ht="14.45">
      <c r="I24" s="109"/>
      <c r="P24" s="88"/>
      <c r="Q24" s="88"/>
      <c r="R24" s="88"/>
      <c r="S24" s="88"/>
    </row>
    <row r="25" spans="2:32" ht="19.149999999999999">
      <c r="P25" s="88"/>
      <c r="Q25" s="110"/>
      <c r="R25" s="88"/>
    </row>
    <row r="26" spans="2:32" ht="14.45"/>
    <row r="27" spans="2:32" ht="14.45">
      <c r="Q27" s="111"/>
    </row>
    <row r="28" spans="2:32" ht="14.45">
      <c r="O28"/>
      <c r="P28" s="88"/>
    </row>
    <row r="29" spans="2:32" ht="14.45"/>
    <row r="30" spans="2:32" ht="14.45">
      <c r="L30" s="112"/>
      <c r="M30" s="112"/>
    </row>
    <row r="31" spans="2:32" ht="14.45"/>
    <row r="32" spans="2:32" ht="14.45">
      <c r="J32" s="88"/>
      <c r="K32" s="88"/>
    </row>
    <row r="33" spans="11:11" ht="14.45">
      <c r="K33" s="88"/>
    </row>
  </sheetData>
  <mergeCells count="11">
    <mergeCell ref="I7:J7"/>
    <mergeCell ref="I8:J8"/>
    <mergeCell ref="I9:J9"/>
    <mergeCell ref="N7:AA7"/>
    <mergeCell ref="D10:D13"/>
    <mergeCell ref="E10:E13"/>
    <mergeCell ref="F10:F13"/>
    <mergeCell ref="G10:G13"/>
    <mergeCell ref="H11:H13"/>
    <mergeCell ref="I11:I13"/>
    <mergeCell ref="D8:E8"/>
  </mergeCells>
  <conditionalFormatting sqref="B19:B23">
    <cfRule type="expression" dxfId="5" priority="9">
      <formula>ROW()=CELL("Row")</formula>
    </cfRule>
  </conditionalFormatting>
  <conditionalFormatting sqref="N8:AF8">
    <cfRule type="expression" dxfId="4" priority="8">
      <formula>ROW()=CELL("Row")</formula>
    </cfRule>
  </conditionalFormatting>
  <conditionalFormatting sqref="B14:B17 B19:B21">
    <cfRule type="expression" dxfId="3" priority="6">
      <formula>ROW()=CELL("Row")</formula>
    </cfRule>
  </conditionalFormatting>
  <conditionalFormatting sqref="B17">
    <cfRule type="expression" dxfId="2" priority="3">
      <formula>ROW()=CELL("Row")</formula>
    </cfRule>
  </conditionalFormatting>
  <conditionalFormatting sqref="B17">
    <cfRule type="expression" dxfId="1" priority="2">
      <formula>ROW()=CELL("Row")</formula>
    </cfRule>
  </conditionalFormatting>
  <conditionalFormatting sqref="B18">
    <cfRule type="expression" dxfId="0" priority="1">
      <formula>ROW()=CELL("Row")</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BCDF7-2CEA-4681-8486-213240833778}">
  <sheetPr codeName="Sheet3"/>
  <dimension ref="A1:E33"/>
  <sheetViews>
    <sheetView workbookViewId="0">
      <selection activeCell="D27" sqref="D27"/>
    </sheetView>
  </sheetViews>
  <sheetFormatPr defaultRowHeight="14.45"/>
  <cols>
    <col min="1" max="1" width="16.7109375" customWidth="1"/>
  </cols>
  <sheetData>
    <row r="1" spans="1:5" s="146" customFormat="1" ht="15" customHeight="1"/>
    <row r="2" spans="1:5" s="146" customFormat="1" ht="15" customHeight="1"/>
    <row r="3" spans="1:5" s="146" customFormat="1" ht="15" customHeight="1"/>
    <row r="4" spans="1:5">
      <c r="A4" s="37">
        <v>44907</v>
      </c>
      <c r="C4" t="s">
        <v>562</v>
      </c>
    </row>
    <row r="5" spans="1:5">
      <c r="A5" s="36" t="s">
        <v>563</v>
      </c>
      <c r="C5" t="s">
        <v>564</v>
      </c>
      <c r="E5" t="s">
        <v>565</v>
      </c>
    </row>
    <row r="6" spans="1:5">
      <c r="A6" s="36" t="s">
        <v>566</v>
      </c>
      <c r="C6" t="s">
        <v>567</v>
      </c>
      <c r="E6" t="s">
        <v>50</v>
      </c>
    </row>
    <row r="7" spans="1:5">
      <c r="A7" s="36" t="s">
        <v>568</v>
      </c>
      <c r="C7" t="s">
        <v>569</v>
      </c>
      <c r="E7" t="s">
        <v>570</v>
      </c>
    </row>
    <row r="8" spans="1:5">
      <c r="A8" s="36" t="s">
        <v>571</v>
      </c>
      <c r="C8" t="s">
        <v>572</v>
      </c>
    </row>
    <row r="9" spans="1:5">
      <c r="A9" s="36" t="s">
        <v>573</v>
      </c>
      <c r="C9" t="s">
        <v>574</v>
      </c>
    </row>
    <row r="10" spans="1:5">
      <c r="A10" s="36" t="s">
        <v>575</v>
      </c>
    </row>
    <row r="11" spans="1:5">
      <c r="A11" s="36" t="s">
        <v>576</v>
      </c>
    </row>
    <row r="12" spans="1:5">
      <c r="A12" s="36" t="s">
        <v>577</v>
      </c>
    </row>
    <row r="13" spans="1:5">
      <c r="A13" s="37">
        <v>44927</v>
      </c>
    </row>
    <row r="14" spans="1:5">
      <c r="A14" s="39">
        <v>45079</v>
      </c>
    </row>
    <row r="15" spans="1:5">
      <c r="A15" s="38" t="s">
        <v>578</v>
      </c>
    </row>
    <row r="16" spans="1:5">
      <c r="A16" s="39">
        <v>45081</v>
      </c>
    </row>
    <row r="17" spans="1:1">
      <c r="A17" s="39">
        <v>45111</v>
      </c>
    </row>
    <row r="18" spans="1:1">
      <c r="A18" s="39">
        <v>44931</v>
      </c>
    </row>
    <row r="19" spans="1:1">
      <c r="A19" s="39">
        <v>45204</v>
      </c>
    </row>
    <row r="20" spans="1:1">
      <c r="A20" s="38" t="s">
        <v>579</v>
      </c>
    </row>
    <row r="21" spans="1:1">
      <c r="A21" s="40" t="s">
        <v>580</v>
      </c>
    </row>
    <row r="22" spans="1:1">
      <c r="A22" s="39">
        <v>44968</v>
      </c>
    </row>
    <row r="23" spans="1:1">
      <c r="A23" s="39">
        <v>44996</v>
      </c>
    </row>
    <row r="24" spans="1:1">
      <c r="A24" s="38" t="s">
        <v>581</v>
      </c>
    </row>
    <row r="25" spans="1:1">
      <c r="A25" s="39">
        <v>45272</v>
      </c>
    </row>
    <row r="26" spans="1:1">
      <c r="A26" s="38" t="s">
        <v>582</v>
      </c>
    </row>
    <row r="27" spans="1:1">
      <c r="A27" s="38" t="s">
        <v>583</v>
      </c>
    </row>
    <row r="28" spans="1:1">
      <c r="A28" s="38" t="s">
        <v>584</v>
      </c>
    </row>
    <row r="29" spans="1:1">
      <c r="A29" s="38" t="s">
        <v>585</v>
      </c>
    </row>
    <row r="30" spans="1:1">
      <c r="A30" s="38" t="s">
        <v>586</v>
      </c>
    </row>
    <row r="31" spans="1:1">
      <c r="A31" s="38" t="s">
        <v>587</v>
      </c>
    </row>
    <row r="32" spans="1:1">
      <c r="A32" s="38" t="s">
        <v>588</v>
      </c>
    </row>
    <row r="33" spans="1:1">
      <c r="A33" s="38" t="s">
        <v>589</v>
      </c>
    </row>
  </sheetData>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4FF5B7F5874B1429408F81B85BC2911" ma:contentTypeVersion="5" ma:contentTypeDescription="Create a new document." ma:contentTypeScope="" ma:versionID="64e845d1d70d666d209daf3011f71977">
  <xsd:schema xmlns:xsd="http://www.w3.org/2001/XMLSchema" xmlns:xs="http://www.w3.org/2001/XMLSchema" xmlns:p="http://schemas.microsoft.com/office/2006/metadata/properties" xmlns:ns2="880f0136-e26b-41f5-b16b-9b533a702a63" xmlns:ns3="18d166e6-df3d-48d5-be97-55ae5cd7335d" targetNamespace="http://schemas.microsoft.com/office/2006/metadata/properties" ma:root="true" ma:fieldsID="29453948a15b6c93f75ec394881a69da" ns2:_="" ns3:_="">
    <xsd:import namespace="880f0136-e26b-41f5-b16b-9b533a702a63"/>
    <xsd:import namespace="18d166e6-df3d-48d5-be97-55ae5cd7335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80f0136-e26b-41f5-b16b-9b533a702a6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8d166e6-df3d-48d5-be97-55ae5cd7335d"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18d166e6-df3d-48d5-be97-55ae5cd7335d">
      <UserInfo>
        <DisplayName>Yanez Ramirez, Adrian</DisplayName>
        <AccountId>12</AccountId>
        <AccountType/>
      </UserInfo>
      <UserInfo>
        <DisplayName>Bautista Barranco, Ricardo</DisplayName>
        <AccountId>30</AccountId>
        <AccountType/>
      </UserInfo>
    </SharedWithUsers>
  </documentManagement>
</p:properties>
</file>

<file path=customXml/itemProps1.xml><?xml version="1.0" encoding="utf-8"?>
<ds:datastoreItem xmlns:ds="http://schemas.openxmlformats.org/officeDocument/2006/customXml" ds:itemID="{15DEBCB3-55BA-4F39-B090-DE56D5C55C2A}"/>
</file>

<file path=customXml/itemProps2.xml><?xml version="1.0" encoding="utf-8"?>
<ds:datastoreItem xmlns:ds="http://schemas.openxmlformats.org/officeDocument/2006/customXml" ds:itemID="{C7359C1B-2D23-41EB-AA6E-F43B5761F949}"/>
</file>

<file path=customXml/itemProps3.xml><?xml version="1.0" encoding="utf-8"?>
<ds:datastoreItem xmlns:ds="http://schemas.openxmlformats.org/officeDocument/2006/customXml" ds:itemID="{49BCFD66-F545-4ED9-B55C-FB5DD547FDA4}"/>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Yanez Ramirez, Adrian</cp:lastModifiedBy>
  <cp:revision/>
  <dcterms:created xsi:type="dcterms:W3CDTF">2023-01-06T15:05:52Z</dcterms:created>
  <dcterms:modified xsi:type="dcterms:W3CDTF">2023-11-22T22:41:56Z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0x010100A4FF5B7F5874B1429408F81B85BC2911</vt:lpwstr>
  </property>
  <property fmtid="{D5CDD505-2E9C-101B-9397-08002B2CF9AE}" pid="3" name="xd_ProgID">
    <vt:lpwstr/>
  </property>
  <property fmtid="{D5CDD505-2E9C-101B-9397-08002B2CF9AE}" pid="4" name="ComplianceAssetId">
    <vt:lpwstr/>
  </property>
  <property fmtid="{D5CDD505-2E9C-101B-9397-08002B2CF9AE}" pid="5" name="TemplateUrl">
    <vt:lpwstr/>
  </property>
  <property fmtid="{D5CDD505-2E9C-101B-9397-08002B2CF9AE}" pid="6" name="_ExtendedDescription">
    <vt:lpwstr/>
  </property>
  <property fmtid="{D5CDD505-2E9C-101B-9397-08002B2CF9AE}" pid="7" name="TriggerFlowInfo">
    <vt:lpwstr/>
  </property>
  <property fmtid="{D5CDD505-2E9C-101B-9397-08002B2CF9AE}" pid="8" name="xd_Signature">
    <vt:bool>false</vt:bool>
  </property>
  <property fmtid="{D5CDD505-2E9C-101B-9397-08002B2CF9AE}" pid="9" name="Order">
    <vt:r8>600</vt:r8>
  </property>
  <property fmtid="{D5CDD505-2E9C-101B-9397-08002B2CF9AE}" pid="10" name="MSIP_Label_ea60d57e-af5b-4752-ac57-3e4f28ca11dc_Enabled">
    <vt:lpwstr>true</vt:lpwstr>
  </property>
  <property fmtid="{D5CDD505-2E9C-101B-9397-08002B2CF9AE}" pid="11" name="MSIP_Label_ea60d57e-af5b-4752-ac57-3e4f28ca11dc_SetDate">
    <vt:lpwstr>2023-02-09T23:27:01Z</vt:lpwstr>
  </property>
  <property fmtid="{D5CDD505-2E9C-101B-9397-08002B2CF9AE}" pid="12" name="MSIP_Label_ea60d57e-af5b-4752-ac57-3e4f28ca11dc_Method">
    <vt:lpwstr>Standard</vt:lpwstr>
  </property>
  <property fmtid="{D5CDD505-2E9C-101B-9397-08002B2CF9AE}" pid="13" name="MSIP_Label_ea60d57e-af5b-4752-ac57-3e4f28ca11dc_Name">
    <vt:lpwstr>ea60d57e-af5b-4752-ac57-3e4f28ca11dc</vt:lpwstr>
  </property>
  <property fmtid="{D5CDD505-2E9C-101B-9397-08002B2CF9AE}" pid="14" name="MSIP_Label_ea60d57e-af5b-4752-ac57-3e4f28ca11dc_SiteId">
    <vt:lpwstr>36da45f1-dd2c-4d1f-af13-5abe46b99921</vt:lpwstr>
  </property>
  <property fmtid="{D5CDD505-2E9C-101B-9397-08002B2CF9AE}" pid="15" name="MSIP_Label_ea60d57e-af5b-4752-ac57-3e4f28ca11dc_ActionId">
    <vt:lpwstr>3390220e-27ef-40e7-9d0d-5a1127c9d853</vt:lpwstr>
  </property>
  <property fmtid="{D5CDD505-2E9C-101B-9397-08002B2CF9AE}" pid="16" name="MSIP_Label_ea60d57e-af5b-4752-ac57-3e4f28ca11dc_ContentBits">
    <vt:lpwstr>0</vt:lpwstr>
  </property>
</Properties>
</file>