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tables/table3.xml" ContentType="application/vnd.openxmlformats-officedocument.spreadsheetml.table+xml"/>
  <Override PartName="/xl/drawings/drawing7.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drawings/drawing9.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gchavezveloz\Downloads\"/>
    </mc:Choice>
  </mc:AlternateContent>
  <xr:revisionPtr revIDLastSave="0" documentId="13_ncr:1_{B9C702E6-7F8C-4A75-BF12-57F83552A72E}" xr6:coauthVersionLast="47" xr6:coauthVersionMax="47" xr10:uidLastSave="{00000000-0000-0000-0000-000000000000}"/>
  <bookViews>
    <workbookView xWindow="-28920" yWindow="15" windowWidth="29040" windowHeight="15840" activeTab="4" xr2:uid="{00000000-000D-0000-FFFF-FFFF00000000}"/>
  </bookViews>
  <sheets>
    <sheet name="Information" sheetId="9" r:id="rId1"/>
    <sheet name="Calendar-React" sheetId="7" r:id="rId2"/>
    <sheet name="Calendar" sheetId="3" state="hidden" r:id="rId3"/>
    <sheet name="Calendar-Node" sheetId="6" r:id="rId4"/>
    <sheet name="React" sheetId="12" r:id="rId5"/>
    <sheet name="Node" sheetId="11" r:id="rId6"/>
    <sheet name="Content" sheetId="1" r:id="rId7"/>
    <sheet name="Training" sheetId="10" r:id="rId8"/>
    <sheet name="holidays" sheetId="4" r:id="rId9"/>
    <sheet name="MCD" sheetId="8" r:id="rId10"/>
  </sheets>
  <functionGroups builtInGroupCount="19"/>
  <externalReferences>
    <externalReference r:id="rId11"/>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7" i="10" l="1" a="1"/>
  <c r="G17" i="10"/>
  <c r="H17" i="10" a="1"/>
  <c r="H17" i="10"/>
  <c r="J17" i="10"/>
  <c r="G16" i="10" a="1"/>
  <c r="G16" i="10"/>
  <c r="H16" i="10" a="1"/>
  <c r="H16" i="10"/>
  <c r="J16" i="10"/>
  <c r="G13" i="10" a="1"/>
  <c r="G13" i="10" s="1"/>
  <c r="J13" i="10" s="1"/>
  <c r="H13" i="10" a="1"/>
  <c r="H13" i="10" s="1"/>
  <c r="G14" i="10" a="1"/>
  <c r="G14" i="10" s="1"/>
  <c r="J14" i="10" s="1"/>
  <c r="H14" i="10" a="1"/>
  <c r="H14" i="10" s="1"/>
  <c r="F7" i="1" a="1"/>
  <c r="F7" i="1" s="1"/>
  <c r="Z27" i="10"/>
  <c r="S28" i="12" a="1"/>
  <c r="S15" i="11" a="1"/>
  <c r="S20" i="12" a="1"/>
  <c r="S33" i="12" a="1"/>
  <c r="S24" i="12" a="1"/>
  <c r="S29" i="12" a="1"/>
  <c r="S11" i="12" a="1"/>
  <c r="S19" i="12" a="1"/>
  <c r="S26" i="12" a="1"/>
  <c r="S14" i="11" a="1"/>
  <c r="S23" i="12" a="1"/>
  <c r="S15" i="12" a="1"/>
  <c r="S12" i="12" a="1"/>
  <c r="S17" i="12" a="1"/>
  <c r="S13" i="12" a="1"/>
  <c r="S27" i="12" a="1"/>
  <c r="S34" i="12" a="1"/>
  <c r="S18" i="12" a="1"/>
  <c r="S12" i="11" a="1"/>
  <c r="S13" i="11" a="1"/>
  <c r="S22" i="12" a="1"/>
  <c r="S30" i="12" a="1"/>
  <c r="S16" i="11" a="1"/>
  <c r="S25" i="12" a="1"/>
  <c r="S21" i="12" a="1"/>
  <c r="S32" i="12" a="1"/>
  <c r="S14" i="12" a="1"/>
  <c r="S16" i="12" a="1"/>
  <c r="S9" i="12" a="1"/>
  <c r="S31" i="12" a="1"/>
  <c r="S10" i="12" a="1"/>
  <c r="S11" i="11" a="1"/>
  <c r="S10" i="11" a="1"/>
  <c r="S33" i="12" l="1"/>
  <c r="S13" i="12"/>
  <c r="S17" i="12"/>
  <c r="S18" i="12"/>
  <c r="S34" i="12"/>
  <c r="S12" i="12"/>
  <c r="S16" i="12"/>
  <c r="S19" i="12"/>
  <c r="S10" i="11"/>
  <c r="S11" i="12"/>
  <c r="S14" i="12"/>
  <c r="S20" i="12"/>
  <c r="S11" i="11"/>
  <c r="S10" i="12"/>
  <c r="S32" i="12"/>
  <c r="S21" i="12"/>
  <c r="S12" i="11"/>
  <c r="S30" i="12"/>
  <c r="S22" i="12"/>
  <c r="S13" i="11"/>
  <c r="S27" i="12"/>
  <c r="S15" i="12"/>
  <c r="S23" i="12"/>
  <c r="S14" i="11"/>
  <c r="S26" i="12"/>
  <c r="S29" i="12"/>
  <c r="S24" i="12"/>
  <c r="S15" i="11"/>
  <c r="S28" i="12"/>
  <c r="S31" i="12"/>
  <c r="S9" i="12"/>
  <c r="S25" i="12"/>
  <c r="S16" i="11"/>
  <c r="Y11" i="11"/>
  <c r="AK11" i="11"/>
  <c r="Y12" i="11"/>
  <c r="AK12" i="11"/>
  <c r="Y13" i="11"/>
  <c r="AK13" i="11"/>
  <c r="Y14" i="11"/>
  <c r="AK14" i="11"/>
  <c r="Y15" i="11"/>
  <c r="Y16" i="11"/>
  <c r="Y17" i="11"/>
  <c r="Y18" i="11"/>
  <c r="Y19" i="11"/>
  <c r="I7" i="12" a="1"/>
  <c r="I7" i="12" s="1"/>
  <c r="I6" i="12" s="1"/>
  <c r="I5" i="12" s="1"/>
  <c r="I4" i="12" s="1"/>
  <c r="H7" i="12" a="1"/>
  <c r="H7" i="12" s="1"/>
  <c r="H6" i="12" s="1"/>
  <c r="H5" i="12" s="1"/>
  <c r="H4" i="12" s="1"/>
  <c r="G7" i="12" a="1"/>
  <c r="G7" i="12" s="1"/>
  <c r="G6" i="12" s="1"/>
  <c r="G5" i="12" s="1"/>
  <c r="G4" i="12" s="1"/>
  <c r="F7" i="12" a="1"/>
  <c r="F7" i="12" s="1"/>
  <c r="F6" i="12" s="1"/>
  <c r="F5" i="12" s="1"/>
  <c r="F4" i="12" s="1"/>
  <c r="E7" i="12" a="1"/>
  <c r="E7" i="12" s="1"/>
  <c r="E6" i="12" s="1"/>
  <c r="E5" i="12" s="1"/>
  <c r="E4" i="12" s="1"/>
  <c r="AK25" i="12"/>
  <c r="AK26" i="12"/>
  <c r="AK27" i="12"/>
  <c r="AK22" i="12"/>
  <c r="AK23" i="12"/>
  <c r="AK19" i="12"/>
  <c r="AK20" i="12"/>
  <c r="AK16" i="12"/>
  <c r="Y17" i="12"/>
  <c r="Z17" i="12"/>
  <c r="AA17" i="12"/>
  <c r="AB17" i="12"/>
  <c r="AC17" i="12"/>
  <c r="AD17" i="12"/>
  <c r="AE17" i="12"/>
  <c r="AK17" i="12"/>
  <c r="Y7" i="12"/>
  <c r="Z7" i="12"/>
  <c r="AA7" i="12"/>
  <c r="AB7" i="12"/>
  <c r="AC7" i="12"/>
  <c r="AD7" i="12"/>
  <c r="AE7" i="12"/>
  <c r="AF7" i="12"/>
  <c r="AG7" i="12"/>
  <c r="AH7" i="12"/>
  <c r="AI7" i="12"/>
  <c r="AJ7" i="12"/>
  <c r="I7" i="11" a="1"/>
  <c r="I7" i="11" s="1"/>
  <c r="I6" i="11" s="1"/>
  <c r="I5" i="11" s="1"/>
  <c r="I4" i="11" s="1"/>
  <c r="H7" i="11" a="1"/>
  <c r="H7" i="11" s="1"/>
  <c r="H6" i="11" s="1"/>
  <c r="H5" i="11" s="1"/>
  <c r="H4" i="11" s="1"/>
  <c r="G7" i="11" a="1"/>
  <c r="G7" i="11"/>
  <c r="G6" i="11" s="1"/>
  <c r="G5" i="11" s="1"/>
  <c r="G4" i="11" s="1"/>
  <c r="F7" i="11" a="1"/>
  <c r="F7" i="11" s="1"/>
  <c r="F6" i="11" s="1"/>
  <c r="F5" i="11" s="1"/>
  <c r="F4" i="11" s="1"/>
  <c r="E7" i="11" a="1"/>
  <c r="E7" i="11" s="1"/>
  <c r="E6" i="11" s="1"/>
  <c r="E5" i="11" s="1"/>
  <c r="E4" i="11" s="1"/>
  <c r="Y7" i="11"/>
  <c r="Z7" i="11"/>
  <c r="AA7" i="11"/>
  <c r="AB7" i="11"/>
  <c r="AC7" i="11"/>
  <c r="AD7" i="11"/>
  <c r="AE7" i="11"/>
  <c r="AF7" i="11"/>
  <c r="AG7" i="11"/>
  <c r="AH7" i="11"/>
  <c r="AI7" i="11"/>
  <c r="AJ7" i="11"/>
  <c r="K11" i="10" a="1"/>
  <c r="K11" i="10" s="1"/>
  <c r="M6" i="10" a="1"/>
  <c r="M5" i="10" a="1"/>
  <c r="M5" i="10" s="1"/>
  <c r="L18" i="10" a="1"/>
  <c r="L18" i="10" s="1"/>
  <c r="K18" i="10" a="1"/>
  <c r="K18" i="10" s="1"/>
  <c r="H18" i="10" a="1"/>
  <c r="H18" i="10" s="1"/>
  <c r="G18" i="10" a="1"/>
  <c r="G18" i="10" s="1"/>
  <c r="J18" i="10" s="1"/>
  <c r="H15" i="10" a="1"/>
  <c r="H15" i="10" s="1"/>
  <c r="G15" i="10" a="1"/>
  <c r="G15" i="10" s="1"/>
  <c r="J15" i="10" s="1"/>
  <c r="H12" i="10" a="1"/>
  <c r="H12" i="10" s="1"/>
  <c r="G12" i="10" a="1"/>
  <c r="G12" i="10" s="1"/>
  <c r="J12" i="10" s="1"/>
  <c r="L11" i="10" a="1"/>
  <c r="L11" i="10" s="1"/>
  <c r="H11" i="10" a="1"/>
  <c r="H11" i="10" s="1"/>
  <c r="G11" i="10" a="1"/>
  <c r="G11" i="10" s="1"/>
  <c r="J11" i="10" s="1"/>
  <c r="F6" i="1"/>
  <c r="F5" i="1" s="1"/>
  <c r="F4" i="1" s="1"/>
  <c r="G7" i="1" a="1"/>
  <c r="G7" i="1" s="1"/>
  <c r="G6" i="1" s="1"/>
  <c r="G5" i="1" s="1"/>
  <c r="G4" i="1" s="1"/>
  <c r="H7" i="1" a="1"/>
  <c r="H7" i="1" s="1"/>
  <c r="H6" i="1" s="1"/>
  <c r="H5" i="1" s="1"/>
  <c r="H4" i="1" s="1"/>
  <c r="I7" i="1" a="1"/>
  <c r="I7" i="1" s="1"/>
  <c r="I6" i="1" s="1"/>
  <c r="I5" i="1" s="1"/>
  <c r="I4" i="1" s="1"/>
  <c r="E7" i="1" a="1"/>
  <c r="E7" i="1" s="1"/>
  <c r="E6" i="1" s="1"/>
  <c r="E5" i="1" s="1"/>
  <c r="E4" i="1" s="1"/>
  <c r="J16" i="6"/>
  <c r="L16" i="6" s="1"/>
  <c r="N16" i="6" s="1"/>
  <c r="P16" i="6"/>
  <c r="J15" i="6"/>
  <c r="P15" i="6"/>
  <c r="P14" i="6"/>
  <c r="J13" i="6"/>
  <c r="E11" i="6"/>
  <c r="E10" i="6"/>
  <c r="E9" i="6"/>
  <c r="E8" i="6"/>
  <c r="AA6" i="6"/>
  <c r="Y6" i="6"/>
  <c r="W6" i="6"/>
  <c r="U6" i="6"/>
  <c r="S6" i="6"/>
  <c r="Q6" i="6"/>
  <c r="O6" i="6"/>
  <c r="S4" i="6"/>
  <c r="G4" i="6" s="1"/>
  <c r="F4" i="6" s="1"/>
  <c r="O19" i="7"/>
  <c r="Q19" i="7" s="1"/>
  <c r="S19" i="7" s="1"/>
  <c r="U19" i="7" s="1"/>
  <c r="W19" i="7" s="1"/>
  <c r="Y19" i="7" s="1"/>
  <c r="AA19" i="7" s="1"/>
  <c r="AC19" i="7" s="1"/>
  <c r="AE19" i="7" s="1"/>
  <c r="AG19" i="7" s="1"/>
  <c r="AI19" i="7" s="1"/>
  <c r="AK19" i="7" s="1"/>
  <c r="I19" i="7"/>
  <c r="K19" i="7" s="1"/>
  <c r="M19" i="7" s="1"/>
  <c r="O18" i="7"/>
  <c r="Q18" i="7" s="1"/>
  <c r="S18" i="7" s="1"/>
  <c r="U18" i="7" s="1"/>
  <c r="W18" i="7" s="1"/>
  <c r="Y18" i="7" s="1"/>
  <c r="AA18" i="7" s="1"/>
  <c r="AC18" i="7" s="1"/>
  <c r="AE18" i="7" s="1"/>
  <c r="AG18" i="7" s="1"/>
  <c r="AI18" i="7" s="1"/>
  <c r="AK18" i="7" s="1"/>
  <c r="I18" i="7"/>
  <c r="K18" i="7" s="1"/>
  <c r="M18" i="7" s="1"/>
  <c r="G17" i="7"/>
  <c r="AM16" i="7"/>
  <c r="I15" i="7"/>
  <c r="K15" i="7" s="1"/>
  <c r="M15" i="7" s="1"/>
  <c r="I14" i="7"/>
  <c r="K14" i="7" s="1"/>
  <c r="M14" i="7" s="1"/>
  <c r="O14" i="7"/>
  <c r="R13" i="7"/>
  <c r="I13" i="7"/>
  <c r="K13" i="7" s="1"/>
  <c r="M13" i="7" s="1"/>
  <c r="O13" i="7" s="1"/>
  <c r="Q13" i="7" s="1"/>
  <c r="E11" i="7"/>
  <c r="E10" i="7"/>
  <c r="E9" i="7"/>
  <c r="E8" i="7"/>
  <c r="AJ6" i="7"/>
  <c r="AH6" i="7"/>
  <c r="AF6" i="7"/>
  <c r="AD6" i="7"/>
  <c r="AB6" i="7"/>
  <c r="Z6" i="7"/>
  <c r="X6" i="7"/>
  <c r="V6" i="7"/>
  <c r="T6" i="7"/>
  <c r="R6" i="7"/>
  <c r="P6" i="7"/>
  <c r="N6" i="7"/>
  <c r="G4" i="7"/>
  <c r="F4" i="7" s="1"/>
  <c r="Y27" i="1"/>
  <c r="Y28" i="1"/>
  <c r="Y29" i="1"/>
  <c r="Y30" i="1"/>
  <c r="Y31" i="1"/>
  <c r="Y32" i="1"/>
  <c r="Y33" i="1"/>
  <c r="Y34" i="1"/>
  <c r="Y26" i="1"/>
  <c r="AK17" i="1"/>
  <c r="AK19" i="1"/>
  <c r="AK20" i="1"/>
  <c r="AK22" i="1"/>
  <c r="AK23" i="1"/>
  <c r="AK25" i="1"/>
  <c r="AK26" i="1"/>
  <c r="AK27" i="1"/>
  <c r="AK28" i="1"/>
  <c r="AK29" i="1"/>
  <c r="AK16" i="1"/>
  <c r="Z17" i="1"/>
  <c r="AA17" i="1"/>
  <c r="AB17" i="1"/>
  <c r="AC17" i="1"/>
  <c r="AD17" i="1"/>
  <c r="AE17" i="1"/>
  <c r="Y17" i="1"/>
  <c r="AJ7" i="1"/>
  <c r="AH7" i="1"/>
  <c r="AI7" i="1"/>
  <c r="AF7" i="1"/>
  <c r="AG7" i="1"/>
  <c r="AE7" i="1"/>
  <c r="AD7" i="1"/>
  <c r="AC7" i="1"/>
  <c r="AB7" i="1"/>
  <c r="AA7" i="1"/>
  <c r="Z7" i="1"/>
  <c r="Y7" i="1"/>
  <c r="K16" i="10" l="1" a="1"/>
  <c r="K16" i="10" s="1"/>
  <c r="K17" i="10" a="1"/>
  <c r="K17" i="10" s="1"/>
  <c r="K14" i="10" a="1"/>
  <c r="K14" i="10" s="1"/>
  <c r="K13" i="10" a="1"/>
  <c r="K13" i="10" s="1"/>
  <c r="K15" i="10" a="1"/>
  <c r="K15" i="10" s="1"/>
  <c r="K12" i="10" a="1"/>
  <c r="K12" i="10" s="1"/>
  <c r="AI7" i="10"/>
  <c r="AJ7" i="10"/>
  <c r="M6" i="10"/>
  <c r="M7" i="10" s="1"/>
  <c r="N7" i="10"/>
  <c r="O7" i="10"/>
  <c r="P7" i="10"/>
  <c r="Q7" i="10"/>
  <c r="R7" i="10"/>
  <c r="S7" i="10"/>
  <c r="T7" i="10"/>
  <c r="U7" i="10"/>
  <c r="V7" i="10"/>
  <c r="W7" i="10"/>
  <c r="X7" i="10"/>
  <c r="Y7" i="10"/>
  <c r="Z7" i="10"/>
  <c r="AA7" i="10"/>
  <c r="AB7" i="10"/>
  <c r="AC7" i="10"/>
  <c r="AD7" i="10"/>
  <c r="AE7" i="10"/>
  <c r="AF7" i="10"/>
  <c r="AG7" i="10"/>
  <c r="AH7" i="10"/>
  <c r="G18" i="7"/>
  <c r="G19" i="7"/>
  <c r="AO16" i="7"/>
  <c r="L15" i="6"/>
  <c r="N15" i="6" s="1"/>
  <c r="R14" i="6"/>
  <c r="T14" i="6" s="1"/>
  <c r="L13" i="6"/>
  <c r="N13" i="6" s="1"/>
  <c r="R15" i="6"/>
  <c r="R16" i="6"/>
  <c r="T16" i="6" s="1"/>
  <c r="V16" i="6" s="1"/>
  <c r="X16" i="6" s="1"/>
  <c r="Z16" i="6" s="1"/>
  <c r="AB16" i="6" s="1"/>
  <c r="S13" i="7"/>
  <c r="Q14" i="7"/>
  <c r="S14" i="7" s="1"/>
  <c r="U14" i="7" s="1"/>
  <c r="W14" i="7" s="1"/>
  <c r="Y14" i="7" s="1"/>
  <c r="AA14" i="7" s="1"/>
  <c r="AC14" i="7" s="1"/>
  <c r="AE14" i="7" s="1"/>
  <c r="AG14" i="7" s="1"/>
  <c r="AI14" i="7" s="1"/>
  <c r="AK14" i="7" s="1"/>
  <c r="AM14" i="7" s="1"/>
  <c r="AO14" i="7" s="1"/>
  <c r="AQ14" i="7" s="1"/>
  <c r="AS14" i="7" s="1"/>
  <c r="L17" i="10" l="1" a="1"/>
  <c r="L17" i="10" s="1"/>
  <c r="L16" i="10" a="1"/>
  <c r="L16" i="10" s="1"/>
  <c r="I17" i="10" a="1"/>
  <c r="I17" i="10" s="1"/>
  <c r="F17" i="10" s="1"/>
  <c r="I16" i="10" a="1"/>
  <c r="I16" i="10" s="1"/>
  <c r="F16" i="10" s="1"/>
  <c r="I14" i="10" a="1"/>
  <c r="I14" i="10" s="1"/>
  <c r="I13" i="10" a="1"/>
  <c r="I13" i="10" s="1"/>
  <c r="L14" i="10" a="1"/>
  <c r="L14" i="10" s="1"/>
  <c r="L13" i="10" a="1"/>
  <c r="L13" i="10" s="1"/>
  <c r="L15" i="10" a="1"/>
  <c r="L15" i="10" s="1"/>
  <c r="I12" i="10" a="1"/>
  <c r="I12" i="10" s="1"/>
  <c r="L12" i="10" a="1"/>
  <c r="L12" i="10" s="1"/>
  <c r="G14" i="7"/>
  <c r="G16" i="6"/>
  <c r="AQ16" i="7"/>
  <c r="T15" i="6"/>
  <c r="V15" i="6" s="1"/>
  <c r="X15" i="6" s="1"/>
  <c r="Z15" i="6" s="1"/>
  <c r="AB15" i="6" s="1"/>
  <c r="I18" i="10" a="1"/>
  <c r="I18" i="10" s="1"/>
  <c r="F18" i="10" s="1"/>
  <c r="I15" i="10" a="1"/>
  <c r="I15" i="10" s="1"/>
  <c r="F15" i="10" s="1"/>
  <c r="F14" i="10"/>
  <c r="F13" i="10"/>
  <c r="F12" i="10"/>
  <c r="I11" i="10" a="1"/>
  <c r="I11" i="10" s="1"/>
  <c r="F11" i="10" s="1"/>
  <c r="V14" i="6"/>
  <c r="X14" i="6" s="1"/>
  <c r="Z14" i="6" s="1"/>
  <c r="AB14" i="6" s="1"/>
  <c r="P13" i="6"/>
  <c r="U13" i="7"/>
  <c r="W13" i="7" s="1"/>
  <c r="Y13" i="7" s="1"/>
  <c r="AA13" i="7" s="1"/>
  <c r="AC13" i="7" s="1"/>
  <c r="AE13" i="7" s="1"/>
  <c r="AG13" i="7" s="1"/>
  <c r="G14" i="6" l="1"/>
  <c r="AS16" i="7"/>
  <c r="G16" i="7"/>
  <c r="AI13" i="7"/>
  <c r="R13" i="6"/>
  <c r="T13" i="6" s="1"/>
  <c r="V13" i="6" s="1"/>
  <c r="X13" i="6" s="1"/>
  <c r="Z13" i="6" s="1"/>
  <c r="AB13" i="6" s="1"/>
  <c r="F10" i="3"/>
  <c r="H10" i="3" s="1"/>
  <c r="G13" i="6" l="1"/>
  <c r="O15" i="7" s="1"/>
  <c r="Q15" i="7" s="1"/>
  <c r="S15" i="7" s="1"/>
  <c r="U15" i="7" s="1"/>
  <c r="W15" i="7" s="1"/>
  <c r="Y15" i="7" s="1"/>
  <c r="AA15" i="7" s="1"/>
  <c r="AC15" i="7" s="1"/>
  <c r="AE15" i="7" s="1"/>
  <c r="AG15" i="7" s="1"/>
  <c r="AI15" i="7" s="1"/>
  <c r="AK15" i="7" s="1"/>
  <c r="AM15" i="7" s="1"/>
  <c r="AO15" i="7" s="1"/>
  <c r="AQ15" i="7" s="1"/>
  <c r="AS15" i="7" s="1"/>
  <c r="AK13" i="7"/>
  <c r="C5" i="3"/>
  <c r="G15" i="7" l="1"/>
  <c r="AM13" i="7"/>
  <c r="AO13" i="7" s="1"/>
  <c r="AQ13" i="7" s="1"/>
  <c r="AS13" i="7" s="1"/>
  <c r="AC3" i="3"/>
  <c r="AA3" i="3"/>
  <c r="Y3" i="3"/>
  <c r="W3" i="3"/>
  <c r="U3" i="3"/>
  <c r="S3" i="3"/>
  <c r="Q3" i="3"/>
  <c r="O3" i="3"/>
  <c r="M3" i="3"/>
  <c r="K3" i="3"/>
  <c r="I3" i="3"/>
  <c r="G3" i="3"/>
  <c r="E3" i="3"/>
  <c r="C10" i="3"/>
  <c r="I10" i="3" s="1"/>
  <c r="F13" i="3"/>
  <c r="C8" i="3"/>
  <c r="C7" i="3"/>
  <c r="C6" i="3"/>
  <c r="G13" i="7" l="1"/>
  <c r="H13" i="3"/>
  <c r="J13" i="3" s="1"/>
  <c r="L13" i="3" s="1"/>
  <c r="N13" i="3" s="1"/>
  <c r="P13" i="3" s="1"/>
  <c r="R13" i="3" s="1"/>
  <c r="T13" i="3" s="1"/>
  <c r="V13" i="3" s="1"/>
  <c r="X13" i="3" s="1"/>
  <c r="Z13" i="3" s="1"/>
  <c r="AB13" i="3" s="1"/>
  <c r="AD13" i="3" s="1"/>
  <c r="AF13" i="3" s="1"/>
  <c r="AH13" i="3" s="1"/>
  <c r="AJ13" i="3" s="1"/>
  <c r="AL13" i="3" s="1"/>
  <c r="J10" i="3"/>
  <c r="L10" i="3" s="1"/>
  <c r="N10" i="3" s="1"/>
  <c r="P10" i="3" s="1"/>
  <c r="R10" i="3" s="1"/>
  <c r="T10" i="3" s="1"/>
  <c r="V10" i="3" s="1"/>
  <c r="X10" i="3" s="1"/>
  <c r="Z10" i="3" s="1"/>
  <c r="AB10" i="3" s="1"/>
  <c r="AD10" i="3" s="1"/>
  <c r="AF10" i="3" s="1"/>
  <c r="AH10" i="3" s="1"/>
  <c r="AJ10" i="3" s="1"/>
  <c r="AL10" i="3" s="1"/>
  <c r="F11" i="3"/>
  <c r="F12" i="3"/>
  <c r="H12" i="3" s="1"/>
  <c r="J12" i="3" s="1"/>
  <c r="L12" i="3" s="1"/>
  <c r="N12" i="3" s="1"/>
  <c r="P12" i="3" s="1"/>
  <c r="R12" i="3" s="1"/>
  <c r="T12" i="3" s="1"/>
  <c r="V12" i="3" s="1"/>
  <c r="X12" i="3" s="1"/>
  <c r="Z12" i="3" s="1"/>
  <c r="AB12" i="3" s="1"/>
  <c r="AD12" i="3" s="1"/>
  <c r="AF12" i="3" s="1"/>
  <c r="AH12" i="3" s="1"/>
  <c r="AJ12" i="3" s="1"/>
  <c r="AL12" i="3" s="1"/>
  <c r="H11" i="3" l="1"/>
  <c r="J11" i="3" s="1"/>
  <c r="L11" i="3" s="1"/>
  <c r="N11" i="3" s="1"/>
  <c r="P11" i="3" s="1"/>
  <c r="R11" i="3" s="1"/>
  <c r="T11" i="3" s="1"/>
  <c r="V11" i="3" s="1"/>
  <c r="X11" i="3" s="1"/>
  <c r="Z11" i="3" s="1"/>
  <c r="AB11" i="3" s="1"/>
  <c r="AD11" i="3" s="1"/>
  <c r="AF11" i="3" s="1"/>
  <c r="AH11" i="3" s="1"/>
  <c r="AJ11" i="3" s="1"/>
  <c r="AL11" i="3" s="1"/>
  <c r="A1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tc={43599207-0C23-4C8C-BE3B-EAF42B26E964}</author>
  </authors>
  <commentList>
    <comment ref="AH13" authorId="0" shapeId="0" xr:uid="{43599207-0C23-4C8C-BE3B-EAF42B26E964}">
      <text>
        <t xml:space="preserve">[Threaded comment]
Your version of Excel allows you to read this threaded comment; however, any edits to it will get removed if the file is opened in a newer version of Excel. Learn more: https://go.microsoft.com/fwlink/?linkid=870924
Comment:
    Se cambia el valor inicial 
1 
02/1/2023
Reply:
    Se agregan los dias que paso en IOS
Para incrementar la fecha de termino
04/20/2023 tentativo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tc={858C15B8-56F0-48EB-AB54-A8C8FF8B8788}</author>
  </authors>
  <commentList>
    <comment ref="AW3" authorId="0" shapeId="0" xr:uid="{858C15B8-56F0-48EB-AB54-A8C8FF8B8788}">
      <text>
        <t>[Threaded comment]
Your version of Excel allows you to read this threaded comment; however, any edits to it will get removed if the file is opened in a newer version of Excel. Learn more: https://go.microsoft.com/fwlink/?linkid=870924
Comment:
    (Talent, integration sericios)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tc={34B24F1F-F1B7-41C8-A60E-32D5D2B17BC0}</author>
  </authors>
  <commentList>
    <comment ref="BE6" authorId="0" shapeId="0" xr:uid="{34B24F1F-F1B7-41C8-A60E-32D5D2B17BC0}">
      <text>
        <t>[Threaded comment]
Your version of Excel allows you to read this threaded comment; however, any edits to it will get removed if the file is opened in a newer version of Excel. Learn more: https://go.microsoft.com/fwlink/?linkid=870924
Comment:
    (Talent, integration sericios)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tc={5C584DD2-F171-4AA9-B587-B865ED580D2F}</author>
    <author>tc={C98762BD-68DF-4318-8225-CF0B074D0F6F}</author>
    <author>tc={B8503321-29A6-4A09-80F5-42B322D21D0E}</author>
  </authors>
  <commentList>
    <comment ref="B12" authorId="0" shapeId="0" xr:uid="{5C584DD2-F171-4AA9-B587-B865ED580D2F}">
      <text>
        <t>[Threaded comment]
Your version of Excel allows you to read this threaded comment; however, any edits to it will get removed if the file is opened in a newer version of Excel. Learn more: https://go.microsoft.com/fwlink/?linkid=870924
Comment:
    React</t>
      </text>
    </comment>
    <comment ref="B13" authorId="1" shapeId="0" xr:uid="{C98762BD-68DF-4318-8225-CF0B074D0F6F}">
      <text>
        <t>[Threaded comment]
Your version of Excel allows you to read this threaded comment; however, any edits to it will get removed if the file is opened in a newer version of Excel. Learn more: https://go.microsoft.com/fwlink/?linkid=870924
Comment:
    React</t>
      </text>
    </comment>
    <comment ref="B14" authorId="2" shapeId="0" xr:uid="{B8503321-29A6-4A09-80F5-42B322D21D0E}">
      <text>
        <t>[Threaded comment]
Your version of Excel allows you to read this threaded comment; however, any edits to it will get removed if the file is opened in a newer version of Excel. Learn more: https://go.microsoft.com/fwlink/?linkid=870924
Comment:
    React</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<sst xmlns="http://schemas.openxmlformats.org/spreadsheetml/2006/main" count="1551" uniqueCount="544">
  <si>
    <t> </t>
  </si>
  <si>
    <t>Done</t>
  </si>
  <si>
    <t>git incomplete, folder complete</t>
  </si>
  <si>
    <t>folder incomplete, git complete</t>
  </si>
  <si>
    <t>Incomplete</t>
  </si>
  <si>
    <t>On hold</t>
  </si>
  <si>
    <t>N</t>
  </si>
  <si>
    <t xml:space="preserve">Nuevo en la academia </t>
  </si>
  <si>
    <t>C</t>
  </si>
  <si>
    <t>Ya estuvo en academia o es bench</t>
  </si>
  <si>
    <t>Macro execution</t>
  </si>
  <si>
    <t>Active developer mode  in your Excel</t>
  </si>
  <si>
    <t>Click File -&gt; Options, It´ll open a Excel Options modal</t>
  </si>
  <si>
    <t>Select Customize Ribbon.</t>
  </si>
  <si>
    <t>Under Customize the Ribbon and under Main Tabs, select the Developer check box.</t>
  </si>
  <si>
    <t>Run Crear Carpetas</t>
  </si>
  <si>
    <t>Click on Developer tab</t>
  </si>
  <si>
    <t>Select Macros, It´ll open a macro window</t>
  </si>
  <si>
    <t>Select Crear Carpetas and click on Run button</t>
  </si>
  <si>
    <t>It´ll prompt you a location where the folder will be created</t>
  </si>
  <si>
    <t>It´ll prompt you the first cell on the excel to start created the folders with the followings name</t>
  </si>
  <si>
    <t>Notes:</t>
  </si>
  <si>
    <t>You need to open the .xlsm file</t>
  </si>
  <si>
    <t>You need to use your excel app</t>
  </si>
  <si>
    <t>Days</t>
  </si>
  <si>
    <t>Time</t>
  </si>
  <si>
    <t>Course</t>
  </si>
  <si>
    <t>Human Resources</t>
  </si>
  <si>
    <t>Deloitte</t>
  </si>
  <si>
    <t>Dextra Processes</t>
  </si>
  <si>
    <t>React</t>
  </si>
  <si>
    <t>Duracion</t>
  </si>
  <si>
    <t>3 dias 1 hora</t>
  </si>
  <si>
    <t>2 dias 2 horas</t>
  </si>
  <si>
    <t>1 dia 2 horas</t>
  </si>
  <si>
    <t>5 dias</t>
  </si>
  <si>
    <t>2 dias</t>
  </si>
  <si>
    <t>3 dias</t>
  </si>
  <si>
    <t>1/2 dia</t>
  </si>
  <si>
    <t>3 horas</t>
  </si>
  <si>
    <t>JR</t>
  </si>
  <si>
    <t>x</t>
  </si>
  <si>
    <t>Int</t>
  </si>
  <si>
    <t>SR</t>
  </si>
  <si>
    <t>TL</t>
  </si>
  <si>
    <t>Rol</t>
  </si>
  <si>
    <t>Fecha Ingreso</t>
  </si>
  <si>
    <t>Fecha Inicio curso</t>
  </si>
  <si>
    <t>DeadLine</t>
  </si>
  <si>
    <t>Aditional</t>
  </si>
  <si>
    <t>Date</t>
  </si>
  <si>
    <t>ALBERT MORAN, ALAN RODRIGO</t>
  </si>
  <si>
    <t>complete</t>
  </si>
  <si>
    <t>PEDROZA GARCIA, EDGAR DANIEL</t>
  </si>
  <si>
    <t>MANCILLA CONTRERAS, JONATHAN ENRIQUE</t>
  </si>
  <si>
    <t>GALLO VALENZUELA, DIEGO FERNANDO</t>
  </si>
  <si>
    <t>TOLEDO MEGCHUN, ANDRES</t>
  </si>
  <si>
    <t>Optional</t>
  </si>
  <si>
    <t>Lombok</t>
  </si>
  <si>
    <t xml:space="preserve">Final Project </t>
  </si>
  <si>
    <t>-</t>
  </si>
  <si>
    <t>Glue</t>
  </si>
  <si>
    <t>ETLs</t>
  </si>
  <si>
    <t>Cassandra</t>
  </si>
  <si>
    <t>Spark</t>
  </si>
  <si>
    <t>AWS</t>
  </si>
  <si>
    <t>Exercise 3</t>
  </si>
  <si>
    <t xml:space="preserve">1 casi dia </t>
  </si>
  <si>
    <t>4 dias</t>
  </si>
  <si>
    <t>1 hora</t>
  </si>
  <si>
    <t xml:space="preserve">1 semana 2.5 dias </t>
  </si>
  <si>
    <t>1 dia 6 horas</t>
  </si>
  <si>
    <t xml:space="preserve">medio dia </t>
  </si>
  <si>
    <t>3 dias 6 horas</t>
  </si>
  <si>
    <t>1 semana 1 dia</t>
  </si>
  <si>
    <t>Node</t>
  </si>
  <si>
    <t>25/01/2023</t>
  </si>
  <si>
    <t>Month</t>
  </si>
  <si>
    <t>Week's</t>
  </si>
  <si>
    <t>REACT</t>
  </si>
  <si>
    <t>Day's</t>
  </si>
  <si>
    <t>Total:</t>
  </si>
  <si>
    <t>Dias</t>
  </si>
  <si>
    <t>ALL</t>
  </si>
  <si>
    <t>Fast</t>
  </si>
  <si>
    <t>INT</t>
  </si>
  <si>
    <t>Steps</t>
  </si>
  <si>
    <t>Topic</t>
  </si>
  <si>
    <t>Name material</t>
  </si>
  <si>
    <t>Link</t>
  </si>
  <si>
    <t>Comments</t>
  </si>
  <si>
    <t>Students</t>
  </si>
  <si>
    <t>Ratings</t>
  </si>
  <si>
    <t>Aditional Comments</t>
  </si>
  <si>
    <t>Column1</t>
  </si>
  <si>
    <t>Horas</t>
  </si>
  <si>
    <t>Patterns</t>
  </si>
  <si>
    <t>React / Testing / Jest</t>
  </si>
  <si>
    <t>Exercise 1</t>
  </si>
  <si>
    <t>Exercise 2</t>
  </si>
  <si>
    <t>React Labs 1</t>
  </si>
  <si>
    <t>React Labs 2</t>
  </si>
  <si>
    <t>React Labs 3</t>
  </si>
  <si>
    <t>React Labs 4</t>
  </si>
  <si>
    <t>React Labs 5</t>
  </si>
  <si>
    <t>React Labs 6</t>
  </si>
  <si>
    <t>Projecto final (ejercicio React )</t>
  </si>
  <si>
    <t>Design Patterns in JavaScript</t>
  </si>
  <si>
    <t>https://deloittedevelopment.udemy.com/course/design-patterns-javascript/?src=sac&amp;kw=javascript+patt</t>
  </si>
  <si>
    <t>Upload your certificate pdf file in Dextra Master System. If you created code, upload it in GitHub</t>
  </si>
  <si>
    <t>React - The Complete Guide (incl Hooks, React Router, Redux)</t>
  </si>
  <si>
    <t>https://deloittedevelopment.udemy.com/course/react-the-complete-guide-incl-redux/learn/lecture/25595350</t>
  </si>
  <si>
    <t>Patterns/React</t>
  </si>
  <si>
    <t>The Complete Guide to Advanced React Component Patterns</t>
  </si>
  <si>
    <t>https://deloittedevelopment.udemy.com/course/the-complete-guide-to-advanced-react-patterns/</t>
  </si>
  <si>
    <t>Parece no estar actualizado pero los patrones de componentes pueden ser útiles</t>
  </si>
  <si>
    <t>React - Testing - Jest</t>
  </si>
  <si>
    <t>Testing React with Jest and React Testing Library (RTL)</t>
  </si>
  <si>
    <t>https://deloittedevelopment.udemy.com/course/react-testing-library/</t>
  </si>
  <si>
    <t>Create a new project</t>
  </si>
  <si>
    <t>Create a project where you implement:
1.-  Authentication to protect frontend pages.
2.- Forms to create and edit authors and genres.
3.- A form to create books, each book must belong to an author and a genre.
4.- Validate forms
5.-  Books, authors and genres lists.
6.- Filter books by name
7.- Paging to books and authors lists.
8.- Error handler.
9.- A communication with a backend (see node exercise 1)
INT: Implementa además un context en la aplicación para manejar la sesión
SR: Además de implementar el context crea un nuevo hook para hacer llamadas http</t>
  </si>
  <si>
    <t>Upload your evidence to GitHub</t>
  </si>
  <si>
    <t>Apply unit test to exercise 1</t>
  </si>
  <si>
    <t>Create a Calendar to Display Event Data with React Typescript and CSS Grid</t>
  </si>
  <si>
    <t>https://deloittedevelopment.udemy.com/labs/create-a-calendar-to-display-event-data-with-react-typescript-and-css-grid/overview/</t>
  </si>
  <si>
    <t>Basic. In choose your mode section, we recommend you to start the lab by clicking on guided challenge. Within the lab, use your IDE to code, later copy your code and paste it to the lab when you want to test it, this way you won't lose your code and you could updload it to the repo</t>
  </si>
  <si>
    <t xml:space="preserve">4 horas </t>
  </si>
  <si>
    <t>horas</t>
  </si>
  <si>
    <t>Add Search &amp; Filter Functionality to a React App</t>
  </si>
  <si>
    <t>https://deloittedevelopment.udemy.com/labs/add-search-filter-functionality-to-a-react-app/overview/</t>
  </si>
  <si>
    <t>Interview questions</t>
  </si>
  <si>
    <t>Top 40 ReactJS Interview Questions and Answers for 2023</t>
  </si>
  <si>
    <t>https://www.simplilearn.com/tutorials/reactjs-tutorial/reactjs-interview-questions</t>
  </si>
  <si>
    <t>Add an Authentication Flow and Route Protection to a React app</t>
  </si>
  <si>
    <t>https://deloittedevelopment.udemy.com/labs/add-an-authentication-flow-and-route-protection-to-a-react-app/overview/</t>
  </si>
  <si>
    <t>Intermediate. In choose your mode section, we recommend you to start the lab by clicking on guided challenge. Within the lab, use your IDE to code, later copy your code and paste it to the lab when you want to test it, this way you won't lose your code and you could updload it to the repo</t>
  </si>
  <si>
    <t>4 horas</t>
  </si>
  <si>
    <t>Build a Social Networking Page with React and Redux</t>
  </si>
  <si>
    <t>https://deloittedevelopment.udemy.com/labs/build-a-social-networking-page-with-react-and-redux/overview/</t>
  </si>
  <si>
    <t>Node / Testing</t>
  </si>
  <si>
    <t>Node Labs</t>
  </si>
  <si>
    <t>Projecto final (ejercicio Node )</t>
  </si>
  <si>
    <t>React Interview Questions</t>
  </si>
  <si>
    <t>https://www.interviewbit.com/react-interview-questions/</t>
  </si>
  <si>
    <t>Build a Complex Application Form with React Hooks and an API</t>
  </si>
  <si>
    <t>https://deloittedevelopment.udemy.com/labs/build-a-complex-application-form-with-react-hooks-and-an-api/overview/</t>
  </si>
  <si>
    <t>Advance. In choose your mode section, we recommend you to start the lab by clicking on guided challenge. Within the lab, use your IDE to code, later copy your code and paste it to the lab when you want to test it, this way you won't lose your code and you could updload it to the repo</t>
  </si>
  <si>
    <t>Create a CI/CD pipeline for a React web application using DevSecOps practices</t>
  </si>
  <si>
    <t>https://deloittedevelopment.udemy.com/labs/create-a-cicd-pipeline-for-a-react-web-application-using-devsecops-practices/overview/</t>
  </si>
  <si>
    <t xml:space="preserve">Es opcional </t>
  </si>
  <si>
    <t>32 ReactJS Interview Questions and Answers for 2023</t>
  </si>
  <si>
    <t>https://www.devteam.space/hiring-interview-tips/reactjs-interview-questions-and-answers/</t>
  </si>
  <si>
    <t>Proyecto final (ejercicio React )</t>
  </si>
  <si>
    <t>You´ll be a frontend developer that develop a real application
INT: Use Redux to manage the states of your application
SR: Use Redux but also construct your projecut using the NextJS framework</t>
  </si>
  <si>
    <t>../../../../:w:/r/sites/Java312-FullStack/Shared Documents/Full Stack/Final project/Final-Project-React.docx?d=w60470901429b4736b9622ed655f91c32&amp;csf=1&amp;web=1&amp;e=kQ35ve</t>
  </si>
  <si>
    <t>Column2</t>
  </si>
  <si>
    <t>Column3</t>
  </si>
  <si>
    <t>NodeJS - The Complete Guide (MVC, REST APIs, GraphQL, Deno)</t>
  </si>
  <si>
    <t>https://deloittedevelopment.udemy.com/course/nodejs-the-complete-guide/learn/lecture/12256808</t>
  </si>
  <si>
    <t xml:space="preserve">Revisar porque esta desactualizado </t>
  </si>
  <si>
    <t>Node - Testing</t>
  </si>
  <si>
    <t>Unit Testing Node.js</t>
  </si>
  <si>
    <t>https://deloittedevelopment.udemy.com/course/nodejs-unit-testing-and-integration-testing-with-express-and-jest/</t>
  </si>
  <si>
    <t>Create a project using Express and MongoDB where you implement:
1.- Authentication and route protection.
2.- An API to create and edit authors and genres.
3.- An API to create and edit books, each book must belong to an author and a genre.
4.- Paging searches filtered by Books, authors and genres.
5.- Error handling.</t>
  </si>
  <si>
    <t>Create a Waitlist App with Node, Express, and Mongo</t>
  </si>
  <si>
    <t>https://deloittedevelopment.udemy.com/labs/create-a-waitlist-app-with-node-express-and-mongo/overview/</t>
  </si>
  <si>
    <t>In choose your mode section, we recommend you to start the lab by clicking on guided challenge. Within the lab, use your IDE to code, later copy your code and paste it to the lab when you want to test it, this way you won't lose your code and you could updload it to the repo</t>
  </si>
  <si>
    <t>You´ll be a backend developer that develop a backend real application
INT: Implement GraphQL in your application
SR: Implement GraphQL in your applicaction using TypeScript instead of JavaScript</t>
  </si>
  <si>
    <t>../../../../:w:/r/sites/Java312-FullStack/Shared Documents/Full Stack/Final project/final-project-Node.docx?d=w8f8669c42bc54a8cab64fd1d5476d204&amp;csf=1&amp;web=1&amp;e=85UIQm</t>
  </si>
  <si>
    <t>NODE</t>
  </si>
  <si>
    <t>Design Patterns in JavaScript for Engineers, Designers &amp; Architects (udemy.com)</t>
  </si>
  <si>
    <t>Design Patterns in JavaScript for Engineers, Designers &amp; Architects | Udemy</t>
  </si>
  <si>
    <t>Discover the modern implementation of design patterns in JavaScript</t>
  </si>
  <si>
    <t>4.2</t>
  </si>
  <si>
    <t xml:space="preserve">1,539 </t>
  </si>
  <si>
    <t xml:space="preserve">15,052 </t>
  </si>
  <si>
    <t xml:space="preserve"> 8/2021</t>
  </si>
  <si>
    <t>10</t>
  </si>
  <si>
    <t> 3</t>
  </si>
  <si>
    <t>Introduction to Object-Oriented JavaScript</t>
  </si>
  <si>
    <t xml:space="preserve">Introduction
Tools of the Trade
</t>
  </si>
  <si>
    <t>SOLID Design Principles</t>
  </si>
  <si>
    <t xml:space="preserve">Overview
Single Responsibility Principle
Open-Closed Principle
Liskov Substitution Principle
Interface Segregation Principle
Dependency Inversion Principle
Summary
</t>
  </si>
  <si>
    <t>Builder</t>
  </si>
  <si>
    <t xml:space="preserve">Gamma Categorization
Overview
Builder
Builder Facets
Builder Coding Exercise
Summary
</t>
  </si>
  <si>
    <t>Factory</t>
  </si>
  <si>
    <t xml:space="preserve">Overview
Factory Method
Factory
Abstract Factory
Factory Coding Exercise
Summary
</t>
  </si>
  <si>
    <t>Prototype</t>
  </si>
  <si>
    <t xml:space="preserve">Overview
Explicit Copying
Copy Through Serialization
Prototype Factory
Prototype Coding Exercise
Summary
</t>
  </si>
  <si>
    <t>Singleton</t>
  </si>
  <si>
    <t xml:space="preserve">Overview
Singleton Implementation
Monostate
Singleton Problems
Singleton Coding Exercise
Summary
</t>
  </si>
  <si>
    <t>Adapter</t>
  </si>
  <si>
    <t xml:space="preserve">Overview
Adapter
Adapter Caching
Adapter Coding Exercise
Summary
</t>
  </si>
  <si>
    <t>Bridge</t>
  </si>
  <si>
    <t xml:space="preserve">Overview
Bridge
Bridge Coding Exercise
Summary
</t>
  </si>
  <si>
    <t>Composite</t>
  </si>
  <si>
    <t xml:space="preserve">Overview
Geometric Shapes
Neural Networks
Composite Coding Exercise
Summary
</t>
  </si>
  <si>
    <t>Decorator</t>
  </si>
  <si>
    <t xml:space="preserve">Overview
Decorator
Decorator Coding Exercise
Summary
</t>
  </si>
  <si>
    <t>Façade</t>
  </si>
  <si>
    <t xml:space="preserve">Overview
Façade
Façade Coding Exercise
Summary
</t>
  </si>
  <si>
    <t>Flyweight</t>
  </si>
  <si>
    <t xml:space="preserve">Overview
Text Formatting
User Names
Flyweight Coding Exercise
Summary
</t>
  </si>
  <si>
    <t>Proxy</t>
  </si>
  <si>
    <t xml:space="preserve">Overview
Value Proxy
Property Proxy
Protection Proxy
Virtual Proxy
Proxy Coding Exercise
Summary
</t>
  </si>
  <si>
    <t>Chain of Responsibility</t>
  </si>
  <si>
    <t xml:space="preserve">Overview
Method Chain
Command Query Separation
Broker Chain
Chain of Responsibility Coding Exercise
Summary
</t>
  </si>
  <si>
    <t>Command</t>
  </si>
  <si>
    <t xml:space="preserve">Overview
Command
Command Undo
Command Coding Exercise
Summary
</t>
  </si>
  <si>
    <t>Interpreter</t>
  </si>
  <si>
    <t xml:space="preserve">Overview
Lexing
Parsing
Interpreter Coding Exercise
Summary
</t>
  </si>
  <si>
    <t>Iterator</t>
  </si>
  <si>
    <t xml:space="preserve">Overview
Array Backed Properties
Iterator
Tree Traversal
Iterator Coding Exercise
Summary
</t>
  </si>
  <si>
    <t>Mediator</t>
  </si>
  <si>
    <t xml:space="preserve">Overview
Chat Room
Mediator with Events
Mediator Coding Exercise
Summary
</t>
  </si>
  <si>
    <t>Memento</t>
  </si>
  <si>
    <t xml:space="preserve">Overview
Memento
Undo and Redo
Memento Coding Exercise
Summary
</t>
  </si>
  <si>
    <t>Observer</t>
  </si>
  <si>
    <t xml:space="preserve">Overview
Events
Property Observers
Property Dependencies
Observer Coding Exercise
Summary
</t>
  </si>
  <si>
    <t>State</t>
  </si>
  <si>
    <t xml:space="preserve">Overview
Classic State
Handmade State Machine
State Coding Exercise
Summary
</t>
  </si>
  <si>
    <t>Strategy</t>
  </si>
  <si>
    <t xml:space="preserve">Overview
Strategy
Strategy Coding Exercise
Summary
</t>
  </si>
  <si>
    <t>Template Method</t>
  </si>
  <si>
    <t xml:space="preserve">Overview
Template Method
Template Method Coding Exercise
Summary
</t>
  </si>
  <si>
    <t>Visitor</t>
  </si>
  <si>
    <t xml:space="preserve">Overview
Intrusive Visitor
Reflective Visitor
Classic Visitor
Visitor Coding Exercise
Summary
</t>
  </si>
  <si>
    <t>Course Summary</t>
  </si>
  <si>
    <t xml:space="preserve">Course Summary
</t>
  </si>
  <si>
    <t>https://deloittedevelopment.udemy.com/course/react-the-complete-guide-incl-redux/learn/lecture/25595350#overview</t>
  </si>
  <si>
    <t>React 16: The Complete Course (incl. React Router 4 &amp; Redux) | Udemy</t>
  </si>
  <si>
    <t>Dive in and learn React.js from scratch! Learn Reactjs, Hooks, Redux, React Router 6.4 Next.js and way more!</t>
  </si>
  <si>
    <t>4.6</t>
  </si>
  <si>
    <t xml:space="preserve">186,546 </t>
  </si>
  <si>
    <t xml:space="preserve">743,558 </t>
  </si>
  <si>
    <t xml:space="preserve"> 6/2023</t>
  </si>
  <si>
    <t>48</t>
  </si>
  <si>
    <t> 19</t>
  </si>
  <si>
    <t>Getting Started</t>
  </si>
  <si>
    <t xml:space="preserve">Welcome To The Course!
What is React.js?
Why React Instead Of "Just JavaScript"?
Building Single-Page Applications (SPAs) with React
Exploring React.js Alternatives (Angular / Vue)
Join our Online Learning Community
About This Course &amp; Course Outline
The Two Ways (Paths) Of Taking This Course
Getting The Most Out Of This Course
Setting Up The Course Dev Environment (Code Editor)
</t>
  </si>
  <si>
    <t>JavaScript Refresher</t>
  </si>
  <si>
    <t xml:space="preserve">Module Introduction
Understanding "let" and "const"
Arrow Functions
Exports and Imports
Understanding Classes
Classes, Properties and Methods
The Spread &amp; Rest Operator
Destructuring
Reference and Primitive Types Refresher
Refreshing Array Methods
Exercise: Array Methods
Wrap Up
Next-Gen JavaScript - Summary
JS Array Functions
</t>
  </si>
  <si>
    <t>React Basics &amp; Working With Components</t>
  </si>
  <si>
    <t xml:space="preserve">Module Introduction
What Are Components? And Why Is React All About Them?
React Code Is Written In A "Declarative Way"!
Creating a new React Project
The Starting Project
Analyzing a Standard React Project
Introducing JSX
How React Works
Exercise: Working with JSX Code
Building a First Custom Component
Exercise: Building a First Component
Writing More Complex JSX Code
Adding Basic CSS Styling
Outputting Dynamic Data &amp; Working with Expressions in JSX
Passing Data via "props"
Exercise: Passing Data via "props"
Adding "normal" JavaScript Logic to Components
Splitting Components Into Multiple Components
Time to Practice: React &amp; Component Basics
The Concept of "Composition" ("children props")
A First Summary
A Closer Look At JSX
Organizing Component Files
An Alternative Function Syntax
Learning Check: React Basics, Components, Props &amp; JSX
Module Resources
</t>
  </si>
  <si>
    <t>React State &amp; Working with Events</t>
  </si>
  <si>
    <t xml:space="preserve">Module Introduction
Listening to Events &amp; Working with Event Handlers
Exercise: Listening to Events
How Component Functions Are Executed
Working with "State"
Exercise: Working with "State"
A Closer Look at the "useState" Hook
State can be updated in many ways!
Adding Form Inputs
Listening to User Input
Working with Multiple States
Using One State Instead (And What's Better)
Updating State That Depends On The Previous State
Exercise: Using State with Form Inputs
Exercise: Updating State Based On Older State
Handling Form Submission
Adding Two-Way Binding
Child-to-Parent Component Communication (Bottom-up)
Lifting The State Up
Time to Practice: Working with Events &amp; State
Controlled vs Uncontrolled Components &amp; Stateless vs Stateful Components
Learning Check: Working with Events &amp; State
Module Resources
</t>
  </si>
  <si>
    <t>Rendering Lists &amp; Conditional Content</t>
  </si>
  <si>
    <t xml:space="preserve">Module Introduction
Rendering Lists of Data
Exercise: Rendering Lists of Data
Using Stateful Lists
Understanding "Keys"
Time to Practice: Working with Lists
Outputting Conditional Content
Exercise: Outputting Conditional Content
Adding Conditional Return Statements
Time to Practice: Conditional Content
Demo App: Adding a Chart
Adding Dynamic Styles
Wrap Up &amp; Next Steps
Fixing a Small Bug
Learning Check: Outputting Lists &amp; Conditional Content
Module Resources
</t>
  </si>
  <si>
    <t>Styling React Components</t>
  </si>
  <si>
    <t xml:space="preserve">Module Introduction
Setting Dynamic Inline Styles
Exercise: Dynamic Styles
Setting CSS Classes Dynamically
Exercise: Dynamic CSS Classes
Introducing Styled Components
Styled Components &amp; Dynamic Props
Styled Components &amp; Media Queries
Using CSS Modules
Dynamic Styles with CSS Modules
Module Resources
</t>
  </si>
  <si>
    <t>Debugging React Apps</t>
  </si>
  <si>
    <t xml:space="preserve">Module Introduction
Understanding React Error Messages
Exercise: Fix Errors
Analyzing Code Flow &amp; Warnings
Working with Breakpoints
Using the React DevTools
Module Resources
</t>
  </si>
  <si>
    <t>Time to Practice: A Complete Practice Project</t>
  </si>
  <si>
    <t xml:space="preserve">Module Introduction
Adding a "User" Component
Adding a re-usable "Card" Component
Adding a re-usable "Button" Component
Managing the User Input State
Adding Validation &amp; Resetting Logic
Adding a Users List Component
Managing a List Of Users via State
Adding The "ErrorModal" Component
Managing the Error State
Module Resources
</t>
  </si>
  <si>
    <t>Diving Deeper: Working with Fragments, Portals &amp; "Refs"</t>
  </si>
  <si>
    <t xml:space="preserve">Module Introduction
JSX Limitations &amp; Workarounds
Creating a Wrapper Component
React Fragments
Introducing React Portals
Working with Portals
Working with "ref"s
Controlled vs Uncontrolled Components
Module Resources
</t>
  </si>
  <si>
    <t>Advanced: Handling Side Effects, Using Reducers &amp; Using the Context API</t>
  </si>
  <si>
    <t xml:space="preserve">Module Introduction
What are "Side Effects" &amp; Introducing useEffect
Using the useEffect() Hook
useEffect &amp; Dependencies
What to add &amp; Not to add as Dependencies
Using the useEffect Cleanup Function
useEffect Summary
Introducing useReducer &amp; Reducers In General
Using the useReducer() Hook
useReducer &amp; useEffect
Adding Nested Properties As Dependencies To useEffect
useReducer vs useState for State Management
Introducing React Context (Context API)
Using the React Context API
Tapping Into Context with the useContext Hook
Making Context Dynamic
Building &amp; Using a Custom Context Provider Component
React Context Limitations
Learning the "Rules of Hooks"
Refactoring an Input Component
Diving into "Forward Refs"
Module Resources
</t>
  </si>
  <si>
    <t>Practice Project: Building a Food Order App</t>
  </si>
  <si>
    <t xml:space="preserve">Module Introduction
Starting Setup
Adding a "Header" Component
Adding the "Cart" Button Component
Adding a "Meals" Component
Adding Individual Meal Items &amp; Displaying Them
Adding a Form
Fixing Form Input IDs
Working on the "Shopping Cart" Component
Adding a Modal via a React Portal
Managing Cart &amp; Modal State
Adding a Cart Context
Using the Context
Adding a Cart Reducer
Working with Refs &amp; Forward Refs
Outputting Cart Items
Working on a More Complex Reducer Logic
Making Items Removable
Using the useEffect Hook
Module Resources
</t>
  </si>
  <si>
    <t>A Look Behind The Scenes Of React &amp; Optimization Techniques</t>
  </si>
  <si>
    <t xml:space="preserve">Module Introduction
How React Really Works
Component Updates In Action
A Closer Look At Child Component Re-Evaluation
Preventing Unnecessary Re-Evaluations with React.memo()
Preventing Function Re-Creation with useCallback()
useCallback() and its Dependencies
A First Summary
A Closer Look At State &amp; Components
Understanding State Scheduling &amp; Batching
Optimizing with useMemo()
Module Resources
</t>
  </si>
  <si>
    <t>An Alternative Way Of Building Components: Class-based Components</t>
  </si>
  <si>
    <t xml:space="preserve">Module Introduction
What &amp; Why
Adding a First Class-based Component
Working with State &amp; Events
The Component Lifecycle (Class-based Components Only!)
Lifecycle Methods In Action
Class-based Components &amp; Context
Class-based vs Functional Components: A Summary
Introducing Error Boundaries
Module Resources
</t>
  </si>
  <si>
    <t>Sending Http Requests (e.g. Connecting to a Database)</t>
  </si>
  <si>
    <t xml:space="preserve">Module Introduction
How To (Not) Connect To A Database
Using the Star Wars API
Our Starting App &amp; Backend
Sending a GET Request
Using async / await
Handling Loading &amp; Data States
Handling Http Errors
Using useEffect() For Requests
Preparing The Project For The Next Steps
Sending a POST Request
Wrap Up
Module Resources
</t>
  </si>
  <si>
    <t>Building Custom React Hooks</t>
  </si>
  <si>
    <t xml:space="preserve">Module Introduction
What are "Custom Hooks"?
Creating a Custom React Hook Function
Using Custom Hooks
Configuring Custom Hooks
Onwards To A More Realistic Example
Building a Custom Http Hook
Using the Custom Http Hook
Adjusting the Custom Hook Logic
Using The Custom Hook In More Components
Module Resources
</t>
  </si>
  <si>
    <t>Working with Forms &amp; User Input</t>
  </si>
  <si>
    <t xml:space="preserve">Module Introduction
Our Starting Setup
What's So Complex About Forms?
Dealing With Form Submission &amp; Getting User Input Values
Adding Basic Validation
Providing Validation Feedback
Handling the "was touched" State
React To Lost Focus
Refactoring &amp; Deriving States
Managing The Overall Form Validity
Time to Practice: Forms
Adding A Custom Input Hook
Re-Using The Custom Hook
A Challenge For You!
Applying Our Hook &amp; Knowledge To A New Form
Summary
Bonus: Using useReducer()
Module Resources
</t>
  </si>
  <si>
    <t>Practice Project: Adding Http &amp; Forms To The Food Order App</t>
  </si>
  <si>
    <t xml:space="preserve">Module Introduction
Moving "Meals" Data To The Backend
Fetching Meals via Http
Handling the Loading State
Handling Errors
Adding A Checkout Form
Reading Form Values
Adding Form Validation
Submitting &amp; Sending Cart Data
Adding Better User Feedback
Summary
Module Resources
</t>
  </si>
  <si>
    <t>Diving into Redux (An Alternative To The Context API)</t>
  </si>
  <si>
    <t xml:space="preserve">Module Introduction
Another Look At State In React Apps
Redux vs React Context
How Redux Works
MUST READ: Redux createStore() is (not) deprecated
Exploring The Core Redux Concepts
More Redux Basics
Preparing a new Project
Creating a Redux Store for React
Providing the Store
Using Redux Data in React Components
Dispatching Actions From Inside Components
Redux with Class-based Components
Attaching Payloads to Actions
Working with Multiple State Properties
How To Work With Redux State Correctly
Redux Challenges &amp; Introducing Redux Toolkit
Adding State Slices
Connecting Redux Toolkit State
Migrating Everything To Redux Toolkit
Working with Multiple Slices
Reading &amp; Dispatching From A New Slice
Splitting Our Code
Summary
Module Resources
</t>
  </si>
  <si>
    <t>Advanced Redux</t>
  </si>
  <si>
    <t xml:space="preserve">Module Introduction
Redux &amp; Side Effects (and Asynchronous Code)
Refresher / Practice: Part 1/2
Refresher / Practice: Part 2/2
Redux &amp; Async Code
Frontend Code vs Backend Code
Where To Put Our Logic
Using useEffect with Redux
A Problem with useEffect()
Handling Http States &amp; Feedback with Redux
Using an Action Creator Thunk
Getting Started with Fetching Data
Finalizing the Fetching Logic
Exploring the Redux DevTools
Summary
Module Resources
</t>
  </si>
  <si>
    <t>Building a Multi-Page SPA with React Router</t>
  </si>
  <si>
    <t xml:space="preserve">Module Introduction
Routing: Multiple Pages in Single-Page Applications
Project Setup &amp; Installing React Router
Defining Routes
Adding a Second Route
Exploring an Alternative Way of Defining Routes
Navigating between Pages with Links
Layouts &amp; Nested Routes
Showing Error Pages with errorElement
Working with Navigation Links (NavLink)
Navigating Programmatically
Defining &amp; Using Dynamic Routes
Adding Links for Dynamic Routes
Understanding Relative &amp; Absolute Paths
Working with Index Routes
Onwards to a new Project Setup
Time to Practice: Problem
Time to Practice: Solution
Data Fetching with a loader()
Using Data From A Loader In The Route Component
More loader() Data Usage
Where Should loader() Code Be Stored?
When Are loader() Functions Executed?
Reflecting The Current Navigation State in the UI
Returning Responses in loader()s
Which Kind Of Code Goes Into loader()s?
Error Handling with Custom Errors
Extracting Error Data &amp; Throwing Responses
The json() Utility Function
Dynamic Routes &amp; loader()s
The useRouteLoaderData() Hook &amp; Accessing Data From Other Routes
Planning Data Submission
Working with action() Functions
Submitting Data Programmatically
Updating the UI State Based on the Submission Status
Validating User Input &amp; Outputting Validation Errors
Reusing Actions via Request Methods
Behind-the-Scenes Work with useFetcher()
Deferring Data Fetching with defer()
Controlling Which Data Should Be Deferred
Module Summary
Upgrading from React Router v5
Module Resources
Old Lectures
</t>
  </si>
  <si>
    <t>Adding Authentication To React Apps</t>
  </si>
  <si>
    <t xml:space="preserve">Module Introduction
How Authentication Works
Project Setup &amp; Route Setup
Working with Query Parameters
Implementing the Auth Action
Validating User Input &amp; Outputting Validation Errors
Adding User Login
Attaching Auth Tokens to Outgoing Requests
Adding User Logout
Updating the UI Based on Auth Status
Important: loader()s must return null or any other value
Adding Route Protection
Adding Automatic Logout
Managing the Token Expiration
Module Resources
</t>
  </si>
  <si>
    <t>Deploying React Apps</t>
  </si>
  <si>
    <t xml:space="preserve">Module Introduction
Deployment Steps
Understanding Lazy Loading
Adding Lazy Loading
Building the Code For Production
Deployment Example
Server-side Routing &amp; Required Configuration
Module Resources
</t>
  </si>
  <si>
    <t>A (Pretty Deep Dive) Introduction to Next.js</t>
  </si>
  <si>
    <t xml:space="preserve">Module Introduction
What is NextJS?
Key Feature 1: Built-in Server-side Rendering (Improved SEO!)
Key Feature 2: Simplified Routing with File-based Routing
Key Feature 3: Build Fullstack Apps
Creating a New Next.js Project &amp; App
Analyzing the Created Project
Adding First Pages
Adding Nested Paths &amp; Pages (Nested Routes)
Creating Dynamic Pages (with Parameters)
Extracting Dynamic Parameter Values
Linking Between Pages
Onwards to a bigger Project!
Preparing the Project Pages
Outputting a List of Meetups
Adding the New Meetup Form
The "_app.js" File &amp; Layout Wrapper
Using Programmatic (Imperative) Navigation
Adding Custom Components &amp; CSS Modules
How Pre-rendering Works &amp; Which Problem We Face
Data Fetching for Static Pages
More on Static Site Generation (SSG)
Exploring Server-side Rendering (SSR) with "getServerSideProps"
Working with Params for SSG Data Fetching
Preparing Paths with "getStaticPaths" &amp; Working With Fallback Pages
Introducing API Routes
Working with MongoDB
Sending Http Requests To Our API Routes
Getting Data From The Database
Getting Meetup Details Data &amp; Preparing Pages
Adding "head" Metadata
Deploying Next.js Projects
Using Fallback Pages &amp; Re-deploying
Summary
Module Resources
</t>
  </si>
  <si>
    <t>Animating React Apps</t>
  </si>
  <si>
    <t xml:space="preserve">Module Introduction
Preparing the Demo Project
Using CSS Transitions
Using CSS Animations
CSS  Transition &amp; Animations Limitations
Using ReactTransitionGroup
Using the Transition Component
Wrapping the Transition Component
Animation Timings
Transition Events
The CSSTransition Component
Customizing CSS Classnames
Animating Lists
Alternative Animation Packages
Wrap Up
Module Resources
</t>
  </si>
  <si>
    <t>Replacing Redux with React Hooks</t>
  </si>
  <si>
    <t xml:space="preserve">Module Introduction
React 18 &amp; This Section
Starting Project &amp; Why You Would Replace Redux
Alternative: Using the Context API
Toggling Favorites with the Context API
Context API Summary (and why NOT to use it instead of Redux)
Getting Started with a Custom Hook as a Store
Finishing the Store Hook
Creating a Concrete Store
Using the Custom Store
Custom Hook Store Summary
Optimizing the Custom Hook Store
Bonus: Managing Multiple State Slices with the Custom Store Hook
Wrap Up
Module Resources
</t>
  </si>
  <si>
    <t>The Complete Guide to Advanced React Component Patterns (udemy.com)</t>
  </si>
  <si>
    <t>The Complete Guide to Advanced React Component Patterns | Udemy</t>
  </si>
  <si>
    <t>Build reusable React components without relying on if statements or more props! Use hooks &amp; trusted advanced patterns!</t>
  </si>
  <si>
    <t>4.1</t>
  </si>
  <si>
    <t xml:space="preserve">1,637 </t>
  </si>
  <si>
    <t xml:space="preserve">11,386 </t>
  </si>
  <si>
    <t xml:space="preserve"> 7/2020</t>
  </si>
  <si>
    <t>6</t>
  </si>
  <si>
    <t> 9</t>
  </si>
  <si>
    <t>Introduction</t>
  </si>
  <si>
    <t xml:space="preserve">Getting Started with Advanced Patterns
(Bonus) PDF:Advanced React Patterns in the Real World: Lessons from OS Libraries
Why Advanced React Patterns
Design Patterns and React
The Medium Clap
</t>
  </si>
  <si>
    <t>The Medium Clap: Real-world Component for Studying Advanced React Patterns</t>
  </si>
  <si>
    <t xml:space="preserve">Why build the medium clap?
Setting up your local environment
How the demo showcase works
Building and styling the medium clap
Handling user interactivity
Higher order components recap
Beginning to animate the clap
Creating and updating the animation timeline
Resolving wrong animated scale
Animating the clap count
Animating the total count
Creating animated bursts!
</t>
  </si>
  <si>
    <t>Custom Hooks: The first Foundational Pattern</t>
  </si>
  <si>
    <t xml:space="preserve">(Bonus) New to hooks?
Introduction to Custom Hooks
Building an animation custom hook
Why reusability fails  - important!
Custom hooks and refs
When is my hook invoked?
</t>
  </si>
  <si>
    <t>The Compound Components Pattern</t>
  </si>
  <si>
    <t xml:space="preserve">Compound components in plain approachable language
Why compound components?
How to implement the pattern
Refactor to Compound components
Alternative export strategy
Exposing state via a callback
Invoking the useEffect callback only after mount!
</t>
  </si>
  <si>
    <t>Patterns for Crafting Reusable Styles</t>
  </si>
  <si>
    <t xml:space="preserve">Introduction to reusable styles
Extending styles via a style prop
Extending styles via a className prop
</t>
  </si>
  <si>
    <t>The Control Props Pattern</t>
  </si>
  <si>
    <t xml:space="preserve">The Problem to be solved
What is control props?
Implementing the pattern
Practical usage of control props
</t>
  </si>
  <si>
    <t>Custom Hooks: A Deeper Look at the Foundational Pattern</t>
  </si>
  <si>
    <t xml:space="preserve">Introduction
useDOMRef
useClapState
useEffectAfterMount
A practical and fun usage
</t>
  </si>
  <si>
    <t>The Props Collection Pattern</t>
  </si>
  <si>
    <t xml:space="preserve">An alternative export strategy
What are props collections?
Implementing props collections
Accessibility and props collections
</t>
  </si>
  <si>
    <t>The Props Getters Pattern</t>
  </si>
  <si>
    <t xml:space="preserve">What are props getters
From collections to getters
Use cases for prop getters
</t>
  </si>
  <si>
    <t>The State Initialiser Pattern</t>
  </si>
  <si>
    <t xml:space="preserve">What are state initializers?
First pattern requirement
Handling resets
Handling reset side effects
How usePrevious works
</t>
  </si>
  <si>
    <t>The State Reducer Pattern</t>
  </si>
  <si>
    <t xml:space="preserve">The state reducer pattern
02 From useState to useReducer
Passing a user custom reducer
Exposing the internal reducer and types
</t>
  </si>
  <si>
    <t>(Bonus) Classifying the Patterns: How to choose the best API</t>
  </si>
  <si>
    <t xml:space="preserve">How the classification works
Making the right API choice
</t>
  </si>
  <si>
    <t>Conclusion</t>
  </si>
  <si>
    <t xml:space="preserve">Thank you!
</t>
  </si>
  <si>
    <t>Testing React with Jest and React Testing Library (RTL) (udemy.com)</t>
  </si>
  <si>
    <t>Testing React with Jest and React Testing Library (RTL) | Udemy</t>
  </si>
  <si>
    <t>Learn best practices for testing your apps with Jest and React Testing Library!</t>
  </si>
  <si>
    <t>4.5</t>
  </si>
  <si>
    <t xml:space="preserve">5,630 </t>
  </si>
  <si>
    <t xml:space="preserve">32,077 </t>
  </si>
  <si>
    <t xml:space="preserve"> 4/2023</t>
  </si>
  <si>
    <t>8</t>
  </si>
  <si>
    <t> 1</t>
  </si>
  <si>
    <t xml:space="preserve">Introduction to Testing Library and Jest
Create-React-App
First Test with Testing Library
Jest and Jest-DOM Assertions
Jest: Watch Mode and How Tests Work
TDD: Test Driven Development
React Testing Library Philosophy
Functional Testing vs Unit Testing
TDD (Test Driven Development) vs BDD (Behavior Driven Development)
Testing Library and Accessibility
RESOURCE: Where to find code if you'd rather not write React for this course
TROUBLESHOOTING: Errors from Node 17 and above
</t>
  </si>
  <si>
    <t>Simple App: Color Button</t>
  </si>
  <si>
    <t xml:space="preserve">Overall Course Plan
Start Color Button App
JEST-DOM BUG! False positives with camelCase `toHaveStyles`
`logRoles` method for debugging roles
Test Behavior when Clicking Button
OPTIONAL React Code: Click Button to Change Color
Manual Acceptance Testing
Test Initial Condition of Button and Checkbox
OPTIONAL: Testing styles from imported CSS modules
Introduction to Code Quizzes
Code Quiz! Confirm Button Disable on Checkbox Check
Code Quiz Solution: Confirm Button Disable on Checkbox Check
Finding Checkbox with Label
Code Quiz! Disabled Button Turns Gray
Unit Testing Functions
Code Quiz! Update Tests for New Color Names
When to Unit Test
Review: Simple App
</t>
  </si>
  <si>
    <t>ESLint with Testing Library, plus Prettier</t>
  </si>
  <si>
    <t xml:space="preserve">ESLint and Prettier
ESLint for Testing Library and Jest-DOM
Instructions for displaying ESLint in the status bar for ESLint extension 2.4.0+
Configure ESLint in VSCode
Configure Prettier in VSCode
Review: ESLint and Prettier
</t>
  </si>
  <si>
    <t>Sundaes On Demand: Form Review and Popover</t>
  </si>
  <si>
    <t xml:space="preserve">Introduction to Sundaes on Demand
ESLint and Prettier Setup
React Bootstrap Setup
Code Organization and Introduction to SummaryForm
Code Quiz: Checkbox Enables Button
OPTIONAL React Code: SummaryForm Checkbox and Button
React Bootstrap Popover and Testing Library userEvent
IMPORTANT, PLEASE READ!: code update required to avoid errors
Replace `fireEvent` with `userEvent`
Screen Query Methods
Testing Element is Not on Page: Popover Tests
OPTIONAL React Code: Popover
Review: Summary Form
</t>
  </si>
  <si>
    <t>Simulating Server Response with Mock Service Worker</t>
  </si>
  <si>
    <t xml:space="preserve">OrderEntry Server Data Introduction
Introduction to Mock Service Worker and Handlers
Why not mock axios using Jest?
Setting up the Mock Service Worker Server
Tests with Mock Service Worker: Scoop Options
IMPORTANT, PLEASE READ: axios issue with 1.x
OPTIONAL React Code: Options and ScoopOption Components
Using `await findBy` to Find Elements that Populate Asynchronously
Code Quiz! Topping Options from Server
TROUBLESHOOTING: `Unable to find role="img"` error
Error Server Response Planning
Simulating Server Error Response in Tests
OPTIONAL React Code: Alert Banner for Options Server Error
Running only Selected Tests, and `waitFor`
TROUBLESHOOTING: Tests passing but getting warnings / errors?
OPTIONAL: Frequent Question: Why doesn't "name" work with the role "alert"?
Review: Server Error Response and Test Debugging Tools
</t>
  </si>
  <si>
    <t>Testing Components Wrapped in a Provider</t>
  </si>
  <si>
    <t xml:space="preserve">Intro to Tests for Total and Subtotals
Entering Text Input: Subtotal Tests
OPTIONAL React Code: OrderDetails Context
OPTIONAL React Code: Use Context to Display Scoops Subtotal
Adding Context to Test Setup
TROUBLESHOOTING: "not wrapped in act(...)" error during next lecture
Creating Custom Render to Wrap in Provider By Default
Review: Scoops Subtotal with Context
Code Quiz! Toppings Subtotal
OPTIONAL React Code: Toppings Checkboxes
Note on equivalent error strings for next lecture
Code Quiz! Grand Total
"Not wrapped in act()..." Error
OPTIONAL: Why is the explicit unmount needed
Manual Acceptance Testing
</t>
  </si>
  <si>
    <t>Final Exam: Order Phases</t>
  </si>
  <si>
    <t xml:space="preserve">Introduction to Final Exam: Order Phases
Adding a New Handler: Copy/Paste Warning!
Debugging Tips
OPTIONAL React Hints for Order Phase Coding
Final Exam Solution
TROUBLESHOOTING: "loading" test fails
OPTIONAL React Code: Order Phases
Jest Mock Functions as Props
Review: Final Exam, and Introduction to Optional Practice
Common Mistakes with React Testing Library
</t>
  </si>
  <si>
    <t>Optional Extra Practice</t>
  </si>
  <si>
    <t xml:space="preserve">Standard Questions for New Tests and Introduction to Exercises
Confirm "Loading" Text
Conditional Toppings Section on Summary Page
Disable Order Button if No Scoops Ordered
Red Input Box for Invalid Scoop Count
No Scoops Subtotal Update for Invalid Scoop Count
Server Error on Order Confirmation Page
Congratulations and Thank You!
</t>
  </si>
  <si>
    <t>Bonus</t>
  </si>
  <si>
    <t xml:space="preserve">Coupons!
</t>
  </si>
  <si>
    <t>Create a new project where you implement:
1.-  Authentication to protect frontend pages.
2.- Forms to create and edit authors and genres.
3.- A form to create books, each book must belong to an author and a genre.
4.- Validate forms
5.-  Books, authors and genres lists.
6.- Filter books by name
7.- Paging to books and authors lists.
8.- Error handler.
9.- A communication with a backend (see node exercise 1)
INT: Implementa además un context en la aplicación para manejar la sesión
SR: Además de implementar el context crea un nuevo hook para hacer llamadas http</t>
  </si>
  <si>
    <t>Exercise 1 -  Create a new project</t>
  </si>
  <si>
    <t>Upload your evidence to GitHub, did you learn in the course (React - Testing - Jest	Testing React with Jest and React Testing Library (RTL))</t>
  </si>
  <si>
    <t>Create a Calendar to Display Event Data with React Typescript and CSS Grid (udemy.com)</t>
  </si>
  <si>
    <t>Add Search &amp; Filter Functionality to a React App (udemy.com)</t>
  </si>
  <si>
    <t>Top 40 ReactJS Interview Questions and Answers in 2023 | Simplilearn</t>
  </si>
  <si>
    <t>Add an Authentication Flow and Route Protection to a React app (udemy.com)</t>
  </si>
  <si>
    <t>Build a Social Networking Page with React and Redux (udemy.com)</t>
  </si>
  <si>
    <t>React Interview Questions and Answers (2023) - InterviewBit</t>
  </si>
  <si>
    <t>Build a Complex Application Form with React Hooks and an API (udemy.com)</t>
  </si>
  <si>
    <t>Create a CI/CD pipeline for a React web application using DevSecOps practices (udemy.com)</t>
  </si>
  <si>
    <t>32 ReactJS Interview Questions and Answers for 2023 (devteam.space)</t>
  </si>
  <si>
    <t>https://amedeloitte.sharepoint.com/:w:/r/sites/Java312-FullStack/Shared%20Documents/Full%20Stack/Final%20project/Final-Project-React.docx?d=w60470901429b4736b9622ed655f91c32&amp;csf=1&amp;web=1&amp;e=kQ35ve</t>
  </si>
  <si>
    <t>(https://deloittedevelopment.udemy.com/course/nodejs-the-complete-guide/learn/lecture/12256808#overview)</t>
  </si>
  <si>
    <t>NodeJS - The Complete Guide (MVC, REST APIs, GraphQL, Deno) | Udemy</t>
  </si>
  <si>
    <t>Master Node JS &amp; Deno.js, build REST APIs with Node.js, GraphQL APIs, add Authentication, use MongoDB, SQL &amp; much more!</t>
  </si>
  <si>
    <t xml:space="preserve">41,443 </t>
  </si>
  <si>
    <t xml:space="preserve">217,542 </t>
  </si>
  <si>
    <t xml:space="preserve"> 5/2023</t>
  </si>
  <si>
    <t>40</t>
  </si>
  <si>
    <t> 31</t>
  </si>
  <si>
    <t xml:space="preserve">Introduction
What is Node.js?
Join our Online Learning Community
Installing Node.js and Creating our First App
Understanding the Role &amp; Usage of Node.js
Course Outline
How To Get The Most Out Of The Course
Working with the REPL vs Using Files
Using the Attached Source Code
</t>
  </si>
  <si>
    <t>Optional: JavaScript - A Quick Refresher</t>
  </si>
  <si>
    <t xml:space="preserve">Module Introduction
JavaScript in a Nutshell
Refreshing the Core Syntax
let &amp; const
Understanding Arrow Functions
Working with Objects, Properties &amp; Methods
Arrays &amp; Array Methods
Arrays, Objects &amp; Reference Types
Understanding Spread &amp; Rest Operators
Destructuring
Async Code &amp; Promises
Template Literals
Wrap Up
Useful Resources &amp; Links
</t>
  </si>
  <si>
    <t>Understanding the Basics</t>
  </si>
  <si>
    <t xml:space="preserve">Module Introduction
How The Web Works
Creating a Node Server
The Node Lifecycle &amp; Event Loop
Controlling the Node.js Process
Understanding Requests
Sending Responses
Request &amp; Response Headers
Routing Requests
Redirecting Requests
Parsing Request Bodies
Understanding Event Driven Code Execution
Blocking and Non-Blocking Code
Node.js - Looking Behind the Scenes
Using the Node Modules System
Wrap Up
Time to Practice - The Basics
Useful Resources &amp; Links
</t>
  </si>
  <si>
    <t>Improved Development Workflow and Debugging</t>
  </si>
  <si>
    <t xml:space="preserve">Module Introduction
Understanding NPM Scripts
Installing 3rd Party Packages
Global Features vs Core Modules vs Third-Party Modules
Using Nodemon for Autorestarts
Global &amp; Local npm Packages
Understanding different Error Types
Finding &amp; Fixing Syntax Errors
Dealing with Runtime Errors
Logical Errors
Using the Debugger
Restarting the Debugger Automatically After Editing our App
Debugging Node.js in Visual Studio Code
Changing Variables in the Debug Console
Wrap Up
Useful Resources &amp; Links
</t>
  </si>
  <si>
    <t>Working with Express.js</t>
  </si>
  <si>
    <t xml:space="preserve">Module Introduction
What is Express.js?
Installing Express.js
Adding Middleware
How Middleware Works
Express.js - Looking Behind the Scenes
Handling Different Routes
Time to Practice - Express.js
Parsing Incoming Requests
Limiting Middleware Execution to POST Requests
Using Express Router
Adding a 404 Error Page
Filtering Paths
Creating HTML Pages
Serving HTML Pages
Returning a 404 Page
A Hint!
Using a Helper Function for Navigation
Styling our Pages
Serving Files Statically
Time to Practice - Navigation
Wrap Up
Useful Resources &amp; Links
</t>
  </si>
  <si>
    <t>Working with Dynamic Content &amp; Adding Templating Engines</t>
  </si>
  <si>
    <t xml:space="preserve">Module Introduction
Sharing Data Across Requests &amp; Users
Templating Engines - An Overview
Installing &amp; Implementing Pug
Outputting Dynamic Content
Official Pug Docs
Converting HTML Files to Pug
Adding a Layout
Finishing the Pug Template
Avoiding an Error
Working with Handlebars
Converting our Project to Handlebars
Adding the Layout to Handlebars
Working with EJS
Working on the Layout with Partials
Wrap Up
Time to Practice - Templating Engines
[OPTIONAL] Assignment Solution
Useful Resources &amp; Links
</t>
  </si>
  <si>
    <t>The Model View Controller (MVC)</t>
  </si>
  <si>
    <t xml:space="preserve">Module Introduction
What is the MVC?
Adding Controllers
Finishing the Controllers
Adding a Product Model
Storing Data in Files Via the Model
Fetching Data from Files Via the Model
Refactoring the File Storage Code
Wrap Up
Useful Resources &amp; Links
</t>
  </si>
  <si>
    <t>Optional: Enhancing the App</t>
  </si>
  <si>
    <t xml:space="preserve">Module Introduction
Creating the Shop Structure
Working on the Navigation
Registering the Routes
Storing Product Data
Displaying Product Data
Editing &amp; Deleting Products
Adding Another Item
Useful Resources &amp; Links
</t>
  </si>
  <si>
    <t>Dynamic Routes &amp; Advanced Models</t>
  </si>
  <si>
    <t xml:space="preserve">Module Introduction
Preparations
Applied Changes
Adding the Product ID to the Path
Extracting Dynamic Params
Loading Product Detail Data
Rendering the Product Detail View
Passing Data with POST Requests
Adding a Cart Model
Using Query Params
Pre-Populating the Edit Product Page with Data
Linking to the Edit Page
Editing the Product Data
Adding the Product-Delete Functionality
Deleting Cart Items
Displaying Cart Items on the Cart Page
Deleting Cart Items
Fixing a Delete Product Bug
Wrap Up
Useful Resources &amp; Links
</t>
  </si>
  <si>
    <t>SQL Introduction</t>
  </si>
  <si>
    <t xml:space="preserve">Module Introduction
Choosing a Database
NoSQL Introduction
Comparing SQL and NoSQL
Setting Up MySQL
Connecting our App to the SQL Database
Basic SQL &amp; Creating a Table
Retrieving Data
Fetching Products
Fetching Products - Time to Practice
Inserting Data Into the Database
Fetching a Single Product with the "where" Condition
Wrap Up
Useful Resources &amp; Links
</t>
  </si>
  <si>
    <t>Understanding Sequelize</t>
  </si>
  <si>
    <t xml:space="preserve">Module Introduction
What is Sequelize?
Connecting to the Database
Defining a Model
Syncing JS Definitions to the Database
Inserting Data &amp; Creating a Product
MUST READ: findById() in Sequelize 5
Retrieving Data &amp; Finding Products
Getting a Single Product with the "where" Condition
Fetching Admin Products
Updating Products
Deleting Products
Creating a User Model
Adding a One-To-Many Relationship
Creating &amp; Managing a Dummy User
Using Magic Association Methods
Fetching Related Products
One-To-Many &amp; Many-To-Many Relations
Creating &amp; Fetching a Cart
Adding New Products to the Cart
Adding Existing Products &amp; Retrieving Cart Items
Deleting Related Items &amp; Deleting Cart Products
Adding an Order Model
Storing Cartitems as Orderitems
Resetting the Cart &amp; Fetching and Outputting Orders
Wrap Up
Useful Resources &amp; Links
</t>
  </si>
  <si>
    <t>Working with NoSQL &amp; Using MongoDB</t>
  </si>
  <si>
    <t xml:space="preserve">Module Introduction
What is MongoDB?
Relations in NoSQL
Setting Up MongoDB
Installing the MongoDB Driver
Creating the Database Connection
Finishing the Database Connection
Using the Database Connection
Creating Products
Understanding the MongoDB Compass
Fetching All Products
Fetching a Single Product
Making the "Edit" &amp; "Delete" Buttons Work Again
Working on the Product Model to Edit our Product
Finishing the "Update Product" Code
One Note About Updating Products
Deleting Products
Fixing the "Add Product" Functionality
Creating New Users
Storing the User in our Database
Working on Cart Items &amp; Orders
Adding the "Add to Cart" Functionality
Storing Multiple Products in the Cart
Displaying the Cart Items
Fixing a Bug
Deleting Cart Items
Adding an Order
Adding Relational Order Data
Getting Orders
Removing Deleted Items From the Cart
Wrap Up
Useful Resources &amp; Links
Two Adjustments (behind the scenes)
</t>
  </si>
  <si>
    <t>Working with Mongoose</t>
  </si>
  <si>
    <t xml:space="preserve">Module Introduction
What is Mongoose?
Connecting to the MongoDB Server with Mongoose
Creating the Product Schema
Saving Data Through Mongoose
Fetching All Products
Fetching a Single Product
Updating Products
Deleting Products
Adding and Using a User Model
Using Relations in Mongoose
One Important Thing About Fetching Relations
Working on the Shopping Cart
Loading the Cart
Deleting Cart Items
Creating &amp; Getting Orders
Storing All Order Related Data
Clearing the Cart After Storing an Order
Getting &amp; Displaying the Orders
Wrap Up
Useful Resources &amp; Links
</t>
  </si>
  <si>
    <t>Sessions &amp; Cookies</t>
  </si>
  <si>
    <t xml:space="preserve">Module Introduction
What is a Cookie?
The Current Project Status
Optional: Creating the Login Form
Adding the Request Driven Login Solution
Setting a Cookie
Manipulating Cookies
Configuring Cookies
What is a Session?
Initializing the Session Middleware
Using the Session Middleware
Using MongoDB to Store Sessions
Sessions &amp; Cookies - A Short Summary
Time to Practice - Sessions and Cookies
Deleting a Cookie
Fixing Some Minor Bugs
Making "Add to Cart" Work Again
Two Tiny Improvements
Wrap Up
Code Adjustments
Useful Resources &amp; Links
</t>
  </si>
  <si>
    <t>Adding Authentication</t>
  </si>
  <si>
    <t xml:space="preserve">Module Introduction
What is Authentication?
How is Authentication Implemented?
Our Updated Project Status
Implementing an Authentication Flow
Encrypting Passwords
Adding a Tiny Code Improvement
Adding the Signin Functionality
Working on Route Protection
Using Middleware to Protect Routes
Understanding CSRF Attacks
Using a CSRF Token
Adding CSRF Protection
csurf() Alternatives
Fixing the Order Button
Providing User Feedback
Optional: Styling Error Messages
Finishing the Flash Messages
Adding Additional Flash Messages
Wrap Up
Useful Resources &amp; Links
</t>
  </si>
  <si>
    <t>Sending Emails</t>
  </si>
  <si>
    <t xml:space="preserve">Module Introduction
How Does Sending Emails Work?
Using SendGrid
Using Nodemailer to Send an Email
Potential Limitation for Large Scale Apps
Useful Resources &amp; Links
</t>
  </si>
  <si>
    <t>Advanced Authentication</t>
  </si>
  <si>
    <t xml:space="preserve">Module Introduction
Resetting Passwords
Implementing the Token Logic
Creating the Token
Creating the Reset Password Form
Adding Logic to Update the Password
Why we Need Authorization
Adding Authorization
Adding Protection to Post Actions
Why Editing Fails
Wrap Up
Useful Resources &amp; Links
</t>
  </si>
  <si>
    <t>Understanding Validation</t>
  </si>
  <si>
    <t xml:space="preserve">Module Introduction
Why Should We Use Validation?
How to Validate Input?
Setup &amp; Basic Validation
Using Validation Error Messages
Built-In &amp; Custom Validators
More Validators
Checking For Field Equality
Adding Async Validation
Time to Practice - Validation
Keeping User Input
Adding Conditional CSS Classes
Adding Validation to Login
Sanitizing Data
Validating Product Addition
Validating Product Editing
Wrap Up
Useful Resources &amp; Links
</t>
  </si>
  <si>
    <t>Error Handling</t>
  </si>
  <si>
    <t xml:space="preserve">Module Introduction
Types of Errors &amp; Error Handling
Analyzing the Error Handling in the Current Project
Errors - Some Theory
Throwing Errors in Code
Returning Error Pages
Using the Express.js Error Handling Middleware
Updating the App
Using the Error Handling Middleware Correctly
Status Codes
Available Status Codes
Wrap Up
Useful Resources &amp; Links
</t>
  </si>
  <si>
    <t>File Upload &amp; Download</t>
  </si>
  <si>
    <t xml:space="preserve">Module Introduction
Adding a File Picker to the Frontend
Handling Multipart Form Data
Handling File Uploads with Multer
Configuring Multer to Adjust Filename &amp; Filepath
Filtering Files by Mimetype
Storing File Data in the Database
Remove imageUrl from "Add Product"
Serving Images Statically
Downloading Files with Authentication
Setting File Type Headers
Restricting File Access
Streaming Data vs Preloading Data
Using PDFKit for .pdf Generation
Generating .pdf Files with Order Data
Deleting Files
Fixing Invoice Links
Wrap Up
Useful Resources &amp; Links
</t>
  </si>
  <si>
    <t>Adding Pagination</t>
  </si>
  <si>
    <t xml:space="preserve">Module Introduction
Adding Pagination Links
Retrieving a Chunk of Data
Skip &amp; Limit with SQL
Preparing Pagination Data on the Server
Adding Dynamic Pagination Buttons
Re-Using the Pagination Logic &amp; Controls
Wrap Up
Useful Resources &amp; Links
</t>
  </si>
  <si>
    <t>Understanding Async Requests</t>
  </si>
  <si>
    <t xml:space="preserve">Module Introduction
What are Async Requests?
Adding Client Side JS Code
The JSON Data Format
Sending &amp; Handling Background Requests
Manipulating the DOM
Useful Resources &amp; Links
</t>
  </si>
  <si>
    <t>Adding Payments</t>
  </si>
  <si>
    <t xml:space="preserve">Module Introduction
How Payments Work
Adding a Checkout Page
Using Stripe in Your App
Useful Resources &amp; Links
</t>
  </si>
  <si>
    <t>Working with REST APIs - The Basics</t>
  </si>
  <si>
    <t xml:space="preserve">Module Introduction
What are REST APIs and why do we use Them?
Accessing Data with REST APIs
Understanding Routing &amp; HTTP Methods
REST APIs - The Core Principles
Creating our REST API Project &amp; Implementing the Route Setup
Sending Requests &amp; Responses and Working with Postman
REST APIs, Clients &amp; CORS Errors
Sending POST Requests
Wrap Up
Useful Resources &amp; Links
</t>
  </si>
  <si>
    <t>Working with REST APIs - The Practical Application</t>
  </si>
  <si>
    <t xml:space="preserve">Module Introduction
REST APIs &amp; The Rest Of The Course
Understanding the Frontend Setup
Planning the API
Fetching Lists of Posts
Adding a Create Post Endpoint
Adding Server Side Validation
Setting Up a Post Model
Storing Posts in the Database
Static Images &amp; Error Handling
Fetching a Single Post
Image Names &amp; Windows
Uploading Images
Updating Posts
Deleting Posts
Adding Pagination
Adding a User Model
Adding User Signup Validation
Signing Users Up
How Does Authentication Work?
Starting with User Login
Logging In &amp; Creating JSON Web Tokens (JWTs)
Using &amp; Validating the Token
Adding Auth Middleware to All Routes
Connecting Posts &amp; Users
Adding Authorization Checks
Clearing Post-User Relations
Time to Practice - Working with REST APIs
Wrap Up
Useful Resources &amp; Links
</t>
  </si>
  <si>
    <t>Understanding Async Await in Node.js</t>
  </si>
  <si>
    <t xml:space="preserve">Module Introduction
What is Async Await All About?
Transforming "Then Catch" to "Async Await"
Top-level "await"
Time to Practice - Async Await
The User Name is Missing!
Wrap Up
Useful Resources &amp; Links
</t>
  </si>
  <si>
    <t>Understanding Websockets &amp; Socket.io</t>
  </si>
  <si>
    <t xml:space="preserve">Module Introduction
What Are Websockets &amp; Why Would You Use Them?
Websocket Solutions - An Overview
Setting Up Socket.io on the Server
Establishing a Connection From the Client
Identifying Realtime Potential
Sharing the IO Instance Across Files
Synchronizing POST Additions
Fixing a Bug - The Missing Username
Updating Posts On All Connected Clients
Sorting Correctly
Deleting Posts Across Clients
Wrap Up
Useful Resources &amp; Links
</t>
  </si>
  <si>
    <t>Working with GraphQL</t>
  </si>
  <si>
    <t xml:space="preserve">Module Introduction
What is GraphQL?
Understanding the Setup &amp; Writing our First Query
Defining a Mutation Schema
Adding a Mutation Resolver &amp; GraphiQL
Adding Input Validation
Handling Errors
Connecting the Frontend to the GraphQL API
Adding a Login Query &amp; a Resolver
Adding Login Functionality
Adding a Create Post Mutation
Extracting User Data From the Auth Token
Sending the "Create Post" Query
Fixing a Bug &amp; Adding New Posts Correctly
Adding a "Get Post" Query &amp; Resolver
Sending "Create Post" and "Get Post" Queries
Adding Pagination
Uploading Images
Fetching the imageUrl
Viewing a Single Post
Updating Posts
Deleting Posts
Adding Posts &amp; Pagination
Managing the User Status
Using Variables
Fixing a Pagination Bug
Wrap Up
Useful Resources &amp; Links
</t>
  </si>
  <si>
    <t>Deploying our App</t>
  </si>
  <si>
    <t xml:space="preserve">Module Introduction
Deploying Different Kinds of Apps
Deployment Preparations
Using Environment Variables
Using Production API Keys
Setting Secure Response Headers with Helmet
Compressing Assets
Setting Up Request Logging
More on Logging
Setting Up a SSL Server
Using a Hosting Provider
Understanding the Project &amp; the Git Setup
A Deployment Example with Heroku
Storing User-generated Files on Heroku
Deploying APIs
Useful Resources &amp; Links
</t>
  </si>
  <si>
    <t>Testing Node.js Applications</t>
  </si>
  <si>
    <t xml:space="preserve">Module Introduction
What is Testing?
Why &amp; How?
Setup and Writing a First Test
Testing the Auth Middleware
Organizing Multiple Tests
What Not To Test!
Using Stubs
Testing Controllers
Testing Asynchronous Code
Setting up a Testing Database
Testing Code With An Active Database
Cleaning Up
Hooks
Testing Code That Requires Authentication
Wrap Up &amp; Mastering Tests
Useful Resources &amp; Links
</t>
  </si>
  <si>
    <t>Node.js as a Build Tool &amp; Using npm</t>
  </si>
  <si>
    <t xml:space="preserve">Module Introduction
npm &amp; Node.js
Using npm
Versioning in package.json
What is a Build Tool?
Using Node.js in Build Processes
Useful Resources &amp; Links
</t>
  </si>
  <si>
    <t>Modern JavaScript &amp; NodeJS</t>
  </si>
  <si>
    <t xml:space="preserve">Module Introduction
What is this Module About?
Working with ES Modules &amp; Node
More on ES Modules
Node Core Modules &amp; Promises
Module Resources
</t>
  </si>
  <si>
    <t>NodeJS &amp; TypeScript</t>
  </si>
  <si>
    <t xml:space="preserve">Module Introduction
TypeScript: What &amp; Why?
TypeScript Setup
Assigning Types
Type Inference &amp; Type Casting
Configuring TypeScript
Working with Union Types
Using Object &amp; Array Types
Working with Type Aliases &amp; Interfaces
Understanding Generics
A First Summary
Node &amp; TypeScript: Setup
Getting Started with Node and TypeScript
Writing TypeScript Express.js Code
Adding REST Routes with TypeScript
Finishing the REST Routes
Testing the API
Using Type Casting
Moving to a Better Project Structure
Wrap Up
Module Resources
</t>
  </si>
  <si>
    <t>An Introduction to Deno</t>
  </si>
  <si>
    <t xml:space="preserve">Module Introduction
What is Deno?
Why Deno?
Deno Setup
Writing First Deno Code
The Deno Runtime (Namespace) API
Using the Runtime API
Working with Deno Permissions
Repeating the Example with Node
How Deno Features Are Organized
Using the Standard Library
Creating a Webserver
Using the Oak Framework with Deno
More on Module URLs
An Example Node REST API
Re-building the REST API with Deno
Should You Switch From Node to Deno?
Module Resources
</t>
  </si>
  <si>
    <t>Deno, CRUD &amp; Databases (MongoDB)</t>
  </si>
  <si>
    <t xml:space="preserve">Module Introduction
App Setup
Handling CORS Errors
Connecting Deno to MongoDB
Using the MongoDB Client Module
Finishing the Deno MongoDB CRUD Operations
Wrap Up
Module Resources
</t>
  </si>
  <si>
    <t>Roundup</t>
  </si>
  <si>
    <t xml:space="preserve">Course Roundup
Course Slides
Bonus: More Content!
</t>
  </si>
  <si>
    <t>Nodejs Express - unit testing/integration tests with Jest (udemy.com)</t>
  </si>
  <si>
    <t>Nodejs Express - unit testing/integration tests with Jest | Udemy</t>
  </si>
  <si>
    <t>Learn to build a full CRUD REST API with Nodejs using TDD in Jest in JavaScript, with unit testing and integration test</t>
  </si>
  <si>
    <t>4.4</t>
  </si>
  <si>
    <t xml:space="preserve">1,293 </t>
  </si>
  <si>
    <t xml:space="preserve">10,538 </t>
  </si>
  <si>
    <t xml:space="preserve"> 11/2019</t>
  </si>
  <si>
    <t>2</t>
  </si>
  <si>
    <t> 47</t>
  </si>
  <si>
    <t>Hello world Express And Jest in less than 10 minutes!</t>
  </si>
  <si>
    <t xml:space="preserve">Initialising project
Hello World Express REST API in less than 5 mins!
CRUD Methods we are going to build the TDD-way in REST
Short intro to Jest + How to install Jest in our project
</t>
  </si>
  <si>
    <t>Our first unit test with Jest</t>
  </si>
  <si>
    <t xml:space="preserve">Our first test with Jest and Express REST API
Making our first test with Jest + Express REST API pass!
Make Jest run automatically on file changes
</t>
  </si>
  <si>
    <t>Our first unit tests for HTTP POST /todos</t>
  </si>
  <si>
    <t xml:space="preserve">Defining a data model for our Todo items with Mongoose
Using jest.fn to mock our Mongoose model functions
Making our test with Jest mock model pass
How to configure Jest test environment
How to mock Request and Response objects in Express API
Writing test with mock Request object and making it pass!
Using beforeEach in Jest tests
Testing if response code is 201 and response is sent
Test if response is sending back JSON body
</t>
  </si>
  <si>
    <t>First integration test on HTTP POST /todos</t>
  </si>
  <si>
    <t xml:space="preserve">Creating our first integration test with Supertest and Jest
How to make our Express app ready for integration testing
Creating our Express Router
How to debug tests in Jest
Setting up Express JSON request body middleware
Fix for address already in use error
Making our controller function use async/await
Setting up our MongoDB database in the cloud!
Creating a MongoDB database user
Connect to MongoDB database with Mongoose
Modify our unit tests to use async/await
Creating a server.js for running our Express REST API manually
Manual Testing with Postman
</t>
  </si>
  <si>
    <t>How to write error handling unit tests + integration tests</t>
  </si>
  <si>
    <t xml:space="preserve">Oops! We're missing error handling!
Unit tests for error handling
Making our error handling unit test PASS
Creating a integration test for error handling
Manual test for error handling
Making a test for errors returning JSON body
Create middleware to parse errors in JSON
Making all of our tests pass and final manual test!
</t>
  </si>
  <si>
    <t>HTTP GET on /todos route</t>
  </si>
  <si>
    <t xml:space="preserve">Intro + first test exercise
Making first test for getTodos pass
Test if TodoModel.find is called
Test if response is being sent back correctly
Test for error handling
Integration test for GET /todos
Manual test with Postman
</t>
  </si>
  <si>
    <t>HTTP GET on /todos/:todoId</t>
  </si>
  <si>
    <t xml:space="preserve">Intro + Getting first test done
Creating mock function TodoModel.findById and test for calls
Exercise! Make test for response and make test pass!
Solution to response testing with getById()
Error handling unit test
If TodoModel could not be found in database
Integration test for GET /todos/:todoId
404 Integration test + final manual tests
</t>
  </si>
  <si>
    <t>HTTP PUT /todos - the TDD way</t>
  </si>
  <si>
    <t xml:space="preserve">Intro to PUT method and first test
Test if TodoModel.findByIdAndUpdate is called
Test if PUT response is sent back
Test HTTP PUT error handling
HTTP PUT 404 test
HTTP PUT Integration test
</t>
  </si>
  <si>
    <t>HTTP DELETE</t>
  </si>
  <si>
    <t xml:space="preserve">Using Jest.mock instead of multiple Jest.fn + Intro to final challenge!
Unit tests for HTTP Delete method
Integration test for HTTP Delete Method + manual test + you are awesome!!
BONUS - coupons for other courses
</t>
  </si>
  <si>
    <t>Create a Waitlist App with Node, Express, and Mongo (udemy.com)</t>
  </si>
  <si>
    <t>https://amedeloitte.sharepoint.com/:w:/r/sites/Java312-FullStack/Shared%20Documents/Full%20Stack/Final%20project/final-project-Node.docx?d=w8f8669c42bc54a8cab64fd1d5476d204&amp;csf=1&amp;web=1&amp;e=85UIQm</t>
  </si>
  <si>
    <t>Academy</t>
  </si>
  <si>
    <t>Training</t>
  </si>
  <si>
    <t>Atrazo</t>
  </si>
  <si>
    <t>estas por atrazarte</t>
  </si>
  <si>
    <t>Fecha Ingreso DD</t>
  </si>
  <si>
    <t>Inicio Course</t>
  </si>
  <si>
    <t>Fecha Fin</t>
  </si>
  <si>
    <t>Complete</t>
  </si>
  <si>
    <t xml:space="preserve">iniciando </t>
  </si>
  <si>
    <t>Total</t>
  </si>
  <si>
    <t>%</t>
  </si>
  <si>
    <t>Semaforo</t>
  </si>
  <si>
    <t>HERNANDEZ GUEVARA, LUIS DANIEL</t>
  </si>
  <si>
    <t>jr</t>
  </si>
  <si>
    <t>GABRIELA CHAVEZ VELOZ</t>
  </si>
  <si>
    <t>LEONARDO FABIAN VALENCIA QUEVEDO</t>
  </si>
  <si>
    <t>JOSE QUINTERO BENITEZ</t>
  </si>
  <si>
    <t>ardc</t>
  </si>
  <si>
    <t>Hernandez Nicolas, JOSE DANIEL</t>
  </si>
  <si>
    <t>Denis Ivan Tomoff</t>
  </si>
  <si>
    <t>12/24/2022</t>
  </si>
  <si>
    <t>12/25/2022</t>
  </si>
  <si>
    <t>12/26/2022</t>
  </si>
  <si>
    <t>12/27/2022</t>
  </si>
  <si>
    <t>12/28/2022</t>
  </si>
  <si>
    <t>12/29/2022</t>
  </si>
  <si>
    <t>12/30/2022</t>
  </si>
  <si>
    <t>12/31/2022</t>
  </si>
  <si>
    <t>3/20/2023</t>
  </si>
  <si>
    <t>9/15/2023</t>
  </si>
  <si>
    <t>9/16/2023</t>
  </si>
  <si>
    <t>11/20/2023</t>
  </si>
  <si>
    <t>12/24/2023</t>
  </si>
  <si>
    <t>12/25/2023</t>
  </si>
  <si>
    <t>12/26/2023</t>
  </si>
  <si>
    <t>12/27/2023</t>
  </si>
  <si>
    <t>12/28/2023</t>
  </si>
  <si>
    <t>12/29/2023</t>
  </si>
  <si>
    <t>12/30/2023</t>
  </si>
  <si>
    <t>12/31/2023</t>
  </si>
  <si>
    <t>Row Labels</t>
  </si>
  <si>
    <t>Real</t>
  </si>
  <si>
    <t>Original</t>
  </si>
  <si>
    <t>Week</t>
  </si>
  <si>
    <t>Due Date</t>
  </si>
  <si>
    <t>DLaunch: Deloitte's Culture of Integrity (30 min)</t>
  </si>
  <si>
    <t>Week 1</t>
  </si>
  <si>
    <t>5/7 days</t>
  </si>
  <si>
    <t>1.5h</t>
  </si>
  <si>
    <t>Introduction to Deloitte Tracking &amp; Trading - Client service professionals only (90 min)</t>
  </si>
  <si>
    <t>3h</t>
  </si>
  <si>
    <t>Cultura Dextra</t>
  </si>
  <si>
    <t>1h</t>
  </si>
  <si>
    <t>PODs</t>
  </si>
  <si>
    <t>Teamwork https://www.linkedin.com/learning/teamwork-foundations-2020/teamwork-is-the-core?autoplay=true&amp;contextUrn=urn%3Ali%3AlyndaLearningPath%3A574331753dd559c55463ddd2&amp;u=1504</t>
  </si>
  <si>
    <t>Fundamentals of Independence for Professionals (60 min)</t>
  </si>
  <si>
    <t>Week 2</t>
  </si>
  <si>
    <t>14 days</t>
  </si>
  <si>
    <t>2.5h</t>
  </si>
  <si>
    <t>Population of Deloitte Tracking and Trading Portfolio (time spent may varies for each individual)</t>
  </si>
  <si>
    <t>Week 3-4</t>
  </si>
  <si>
    <t>28/31 days</t>
  </si>
  <si>
    <t>4h</t>
  </si>
  <si>
    <t>Identifying Anti-Corruption and Trade Risks in Everyday Situations (60 min)</t>
  </si>
  <si>
    <t>Everyday Dangers at Deloitte: Confidentiality, Privacy, and Cybersecurity Fundamentals (60 min)</t>
  </si>
  <si>
    <t>Completion of Submission of Representation on Independence, Ethics and Compliance</t>
  </si>
  <si>
    <t>The Integrity Imperative</t>
  </si>
  <si>
    <t>Preventing Workplace Harassment</t>
  </si>
  <si>
    <t>Week 5</t>
  </si>
  <si>
    <t>60 days</t>
  </si>
  <si>
    <t>Tracking &amp; Trading: What You Need to Know to Get It Right - The Sequel (15 min)</t>
  </si>
  <si>
    <t>90 days</t>
  </si>
  <si>
    <t>Tracking &amp; Trading: What You Need to Know to Get It Right (15 min)</t>
  </si>
  <si>
    <t>Communications https://www.linkedin.com/learning/communication-foundations-2/foundations-of-communication?autoplay=true&amp;contextUrn=urn%3Ali%3AlyndaLearningPath%3A574331753dd559c55463ddd2&amp;u=1504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</si>
</sst>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4" formatCode="_(&quot;$&quot;* #,##0.00_);_(&quot;$&quot;* \(#,##0.00\);_(&quot;$&quot;* &quot;-&quot;??_);_(@_)"/>
    <numFmt numFmtId="164" formatCode="0.0"/>
  </numFmts>
  <fonts count="47">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b/>
      <sz val="18"/>
      <color theme="0"/>
      <name val="Calibri"/>
      <family val="2"/>
    </font>
    <font>
      <sz val="11"/>
      <color rgb="FF9C5700"/>
      <name val="Calibri"/>
      <family val="2"/>
      <scheme val="minor"/>
    </font>
    <font>
      <b/>
      <sz val="11"/>
      <color theme="0"/>
      <name val="Calibri"/>
      <family val="2"/>
      <scheme val="minor"/>
    </font>
    <font>
      <sz val="11"/>
      <color theme="0"/>
      <name val="Calibri"/>
      <family val="2"/>
      <scheme val="minor"/>
    </font>
    <font>
      <sz val="11"/>
      <color rgb="FF000000"/>
      <name val="Calibri"/>
      <family val="2"/>
    </font>
    <font>
      <sz val="11"/>
      <name val="Calibri"/>
      <family val="2"/>
    </font>
    <font>
      <sz val="12"/>
      <name val="Calibri"/>
      <family val="2"/>
    </font>
    <font>
      <b/>
      <sz val="12"/>
      <name val="Calibri"/>
      <family val="2"/>
    </font>
    <font>
      <sz val="9"/>
      <color rgb="FF000000"/>
      <name val="Calibri"/>
      <family val="2"/>
    </font>
    <font>
      <sz val="11"/>
      <name val="Calibri"/>
      <family val="2"/>
      <scheme val="minor"/>
    </font>
    <font>
      <sz val="9"/>
      <color theme="0"/>
      <name val="Calibri"/>
      <family val="2"/>
    </font>
    <font>
      <b/>
      <sz val="12"/>
      <color theme="0" tint="-0.499984740745262"/>
      <name val="Calibri"/>
      <family val="2"/>
      <scheme val="minor"/>
    </font>
    <font>
      <sz val="14"/>
      <name val="Calibri"/>
      <family val="2"/>
      <scheme val="minor"/>
    </font>
    <font>
      <b/>
      <sz val="12"/>
      <name val="Calibri"/>
      <family val="2"/>
      <scheme val="minor"/>
    </font>
    <font>
      <b/>
      <sz val="11"/>
      <name val="Calibri"/>
      <family val="2"/>
      <scheme val="minor"/>
    </font>
    <font>
      <sz val="11"/>
      <color theme="5" tint="-0.249977111117893"/>
      <name val="Calibri"/>
      <family val="2"/>
      <scheme val="minor"/>
    </font>
    <font>
      <sz val="11"/>
      <color rgb="FF444444"/>
      <name val="Calibri"/>
      <family val="2"/>
      <charset val="1"/>
    </font>
    <font>
      <sz val="11"/>
      <name val="Calibri"/>
    </font>
    <font>
      <sz val="12"/>
      <name val="Calibri"/>
    </font>
    <font>
      <sz val="11"/>
      <color rgb="FF000000"/>
      <name val="Calibri"/>
      <family val="2"/>
      <scheme val="minor"/>
    </font>
    <font>
      <sz val="11"/>
      <color rgb="FF006100"/>
      <name val="Calibri"/>
      <scheme val="minor"/>
    </font>
    <font>
      <sz val="14"/>
      <color rgb="FF9BC2E6"/>
      <name val="Calibri"/>
      <family val="2"/>
      <scheme val="minor"/>
    </font>
    <font>
      <sz val="11"/>
      <color rgb="FFFF0000"/>
      <name val="Calibri"/>
      <family val="2"/>
      <scheme val="minor"/>
    </font>
    <font>
      <sz val="11"/>
      <color rgb="FF444444"/>
      <name val="Calibri"/>
      <family val="2"/>
    </font>
    <font>
      <sz val="11"/>
      <color rgb="FF444444"/>
      <name val="Calibri"/>
      <charset val="1"/>
    </font>
    <font>
      <sz val="11"/>
      <color rgb="FF9C0006"/>
      <name val="Calibri"/>
      <scheme val="minor"/>
    </font>
    <font>
      <sz val="11"/>
      <color theme="0"/>
      <name val="Calibri"/>
      <scheme val="minor"/>
    </font>
    <font>
      <b/>
      <sz val="10"/>
      <color theme="1"/>
      <name val="Calibri"/>
      <family val="2"/>
      <scheme val="minor"/>
    </font>
    <font>
      <sz val="10"/>
      <color theme="1"/>
      <name val="Calibri"/>
      <family val="2"/>
      <scheme val="minor"/>
    </font>
    <font>
      <b/>
      <sz val="12"/>
      <color theme="1" tint="0.34998626667073579"/>
      <name val="Calibri"/>
      <family val="2"/>
      <scheme val="minor"/>
    </font>
    <font>
      <sz val="11"/>
      <color theme="1" tint="0.499984740745262"/>
      <name val="Calibri"/>
      <family val="2"/>
      <scheme val="minor"/>
    </font>
    <font>
      <sz val="14"/>
      <color rgb="FF000000"/>
      <name val="Calibri"/>
      <family val="2"/>
      <scheme val="minor"/>
    </font>
    <font>
      <sz val="11"/>
      <color rgb="FFD0021B"/>
      <name val="SFMono-Regular"/>
      <charset val="1"/>
    </font>
    <font>
      <sz val="12"/>
      <color rgb="FF1E1E1E"/>
      <name val="Segoe UI"/>
      <charset val="1"/>
    </font>
    <font>
      <sz val="11"/>
      <color rgb="FF444444"/>
      <name val="Calibri"/>
    </font>
    <font>
      <b/>
      <sz val="36"/>
      <color rgb="FFFFFFFF"/>
      <name val="Calibri"/>
      <family val="2"/>
      <scheme val="minor"/>
    </font>
    <font>
      <sz val="11"/>
      <color rgb="FFFF0000"/>
      <name val="Calibri"/>
      <scheme val="minor"/>
    </font>
    <font>
      <sz val="11"/>
      <color rgb="FF000000"/>
      <name val="Calibri"/>
    </font>
    <font>
      <b/>
      <sz val="18"/>
      <color theme="0"/>
      <name val="Calibri"/>
    </font>
    <font>
      <sz val="24"/>
      <color rgb="FFFFFFFF"/>
      <name val="Calibri"/>
      <family val="2"/>
      <scheme val="minor"/>
    </font>
    <font>
      <b/>
      <sz val="14"/>
      <color rgb="FF000000"/>
      <name val="Calibri"/>
      <family val="2"/>
    </font>
    <font>
      <b/>
      <sz val="14"/>
      <color theme="1"/>
      <name val="Calibri"/>
      <family val="2"/>
      <scheme val="minor"/>
    </font>
  </fonts>
  <fills count="35">
    <fill>
      <patternFill patternType="none"/>
    </fill>
    <fill>
      <patternFill patternType="gray125"/>
    </fill>
    <fill>
      <patternFill patternType="solid">
        <fgColor theme="8" tint="0.39997558519241921"/>
        <bgColor indexed="64"/>
      </patternFill>
    </fill>
    <fill>
      <patternFill patternType="solid">
        <fgColor theme="8"/>
        <bgColor indexed="64"/>
      </patternFill>
    </fill>
    <fill>
      <patternFill patternType="solid">
        <fgColor rgb="FFFFEB9C"/>
      </patternFill>
    </fill>
    <fill>
      <patternFill patternType="solid">
        <fgColor rgb="FFA5A5A5"/>
      </patternFill>
    </fill>
    <fill>
      <patternFill patternType="solid">
        <fgColor rgb="FFF9F9F9"/>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FF0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FF99FF"/>
        <bgColor indexed="64"/>
      </patternFill>
    </fill>
    <fill>
      <patternFill patternType="solid">
        <fgColor rgb="FFE7E6E6"/>
        <bgColor rgb="FF000000"/>
      </patternFill>
    </fill>
    <fill>
      <patternFill patternType="solid">
        <fgColor rgb="FFD6DCE4"/>
        <bgColor rgb="FF000000"/>
      </patternFill>
    </fill>
    <fill>
      <patternFill patternType="solid">
        <fgColor rgb="FFC6EFCE"/>
      </patternFill>
    </fill>
    <fill>
      <patternFill patternType="solid">
        <fgColor rgb="FF92D050"/>
        <bgColor rgb="FF000000"/>
      </patternFill>
    </fill>
    <fill>
      <patternFill patternType="solid">
        <fgColor rgb="FFFFFF00"/>
        <bgColor rgb="FF000000"/>
      </patternFill>
    </fill>
    <fill>
      <patternFill patternType="solid">
        <fgColor rgb="FFFFC000"/>
        <bgColor rgb="FF000000"/>
      </patternFill>
    </fill>
    <fill>
      <patternFill patternType="solid">
        <fgColor rgb="FFFF0000"/>
        <bgColor rgb="FF000000"/>
      </patternFill>
    </fill>
    <fill>
      <patternFill patternType="solid">
        <fgColor rgb="FFC65911"/>
        <bgColor rgb="FF000000"/>
      </patternFill>
    </fill>
    <fill>
      <patternFill patternType="solid">
        <fgColor rgb="FFC65911"/>
        <bgColor indexed="64"/>
      </patternFill>
    </fill>
    <fill>
      <patternFill patternType="solid">
        <fgColor rgb="FF0070C0"/>
        <bgColor indexed="64"/>
      </patternFill>
    </fill>
    <fill>
      <patternFill patternType="solid">
        <fgColor rgb="FFFFC000"/>
        <bgColor indexed="64"/>
      </patternFill>
    </fill>
    <fill>
      <patternFill patternType="solid">
        <fgColor rgb="FFFF0000"/>
        <bgColor indexed="64"/>
      </patternFill>
    </fill>
    <fill>
      <patternFill patternType="solid">
        <fgColor rgb="FFFFC7CE"/>
      </patternFill>
    </fill>
    <fill>
      <patternFill patternType="solid">
        <fgColor theme="4"/>
      </patternFill>
    </fill>
    <fill>
      <patternFill patternType="solid">
        <fgColor theme="9" tint="0.39997558519241921"/>
        <bgColor indexed="64"/>
      </patternFill>
    </fill>
    <fill>
      <patternFill patternType="solid">
        <fgColor rgb="FFFFFFFF"/>
        <bgColor indexed="64"/>
      </patternFill>
    </fill>
    <fill>
      <patternFill patternType="solid">
        <fgColor theme="0"/>
        <bgColor indexed="64"/>
      </patternFill>
    </fill>
    <fill>
      <patternFill patternType="solid">
        <fgColor rgb="FF548235"/>
        <bgColor indexed="64"/>
      </patternFill>
    </fill>
    <fill>
      <patternFill patternType="solid">
        <fgColor rgb="FFA9D08E"/>
        <bgColor indexed="64"/>
      </patternFill>
    </fill>
    <fill>
      <patternFill patternType="solid">
        <fgColor rgb="FFFFD966"/>
        <bgColor indexed="64"/>
      </patternFill>
    </fill>
    <fill>
      <patternFill patternType="solid">
        <fgColor rgb="FF70AD47"/>
        <bgColor indexed="64"/>
      </patternFill>
    </fill>
    <fill>
      <patternFill patternType="solid">
        <fgColor theme="1"/>
        <bgColor indexed="64"/>
      </patternFill>
    </fill>
  </fills>
  <borders count="23">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double">
        <color rgb="FF3F3F3F"/>
      </left>
      <right style="double">
        <color rgb="FF3F3F3F"/>
      </right>
      <top style="double">
        <color rgb="FF3F3F3F"/>
      </top>
      <bottom style="double">
        <color rgb="FF3F3F3F"/>
      </bottom>
      <diagonal/>
    </border>
    <border>
      <left style="thin">
        <color indexed="64"/>
      </left>
      <right/>
      <top/>
      <bottom style="thin">
        <color indexed="64"/>
      </bottom>
      <diagonal/>
    </border>
    <border>
      <left/>
      <right/>
      <top/>
      <bottom style="thin">
        <color rgb="FF000000"/>
      </bottom>
      <diagonal/>
    </border>
    <border>
      <left/>
      <right/>
      <top/>
      <bottom style="double">
        <color rgb="FF3F3F3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medium">
        <color rgb="FFDDDDDD"/>
      </left>
      <right style="medium">
        <color rgb="FFDDDDDD"/>
      </right>
      <top style="medium">
        <color rgb="FFDDDDDD"/>
      </top>
      <bottom style="medium">
        <color rgb="FFDDDDDD"/>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rgb="FF000000"/>
      </left>
      <right style="thin">
        <color rgb="FF000000"/>
      </right>
      <top style="thin">
        <color rgb="FF000000"/>
      </top>
      <bottom style="thin">
        <color rgb="FF000000"/>
      </bottom>
      <diagonal/>
    </border>
    <border>
      <left style="thin">
        <color rgb="FF000000"/>
      </left>
      <right/>
      <top/>
      <bottom style="thin">
        <color rgb="FF000000"/>
      </bottom>
      <diagonal/>
    </border>
    <border>
      <left/>
      <right style="thin">
        <color indexed="64"/>
      </right>
      <top style="thin">
        <color rgb="FF000000"/>
      </top>
      <bottom style="thin">
        <color rgb="FF000000"/>
      </bottom>
      <diagonal/>
    </border>
    <border>
      <left/>
      <right/>
      <top/>
      <bottom style="thin">
        <color indexed="64"/>
      </bottom>
      <diagonal/>
    </border>
    <border>
      <left/>
      <right style="thin">
        <color indexed="64"/>
      </right>
      <top style="thin">
        <color indexed="64"/>
      </top>
      <bottom/>
      <diagonal/>
    </border>
  </borders>
  <cellStyleXfs count="9">
    <xf numFmtId="0" fontId="0" fillId="0" borderId="0"/>
    <xf numFmtId="44" fontId="1" fillId="0" borderId="0" applyFont="0" applyFill="0" applyBorder="0" applyAlignment="0" applyProtection="0"/>
    <xf numFmtId="0" fontId="3" fillId="0" borderId="0" applyNumberFormat="0" applyFill="0" applyBorder="0" applyAlignment="0" applyProtection="0"/>
    <xf numFmtId="0" fontId="6" fillId="4" borderId="0" applyNumberFormat="0" applyBorder="0" applyAlignment="0" applyProtection="0"/>
    <xf numFmtId="0" fontId="7" fillId="5" borderId="7" applyNumberFormat="0" applyAlignment="0" applyProtection="0"/>
    <xf numFmtId="0" fontId="25" fillId="15" borderId="0" applyNumberFormat="0" applyBorder="0" applyAlignment="0" applyProtection="0"/>
    <xf numFmtId="9" fontId="1" fillId="0" borderId="0" applyFont="0" applyFill="0" applyBorder="0" applyAlignment="0" applyProtection="0"/>
    <xf numFmtId="0" fontId="30" fillId="25" borderId="0" applyNumberFormat="0" applyBorder="0" applyAlignment="0" applyProtection="0"/>
    <xf numFmtId="0" fontId="31" fillId="26" borderId="0" applyNumberFormat="0" applyBorder="0" applyAlignment="0" applyProtection="0"/>
  </cellStyleXfs>
  <cellXfs count="253">
    <xf numFmtId="0" fontId="0" fillId="0" borderId="0" xfId="0"/>
    <xf numFmtId="44" fontId="0" fillId="0" borderId="0" xfId="1" applyFont="1" applyAlignment="1"/>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3" borderId="2" xfId="0" applyFont="1" applyFill="1" applyBorder="1" applyAlignment="1">
      <alignment horizontal="center" vertical="center"/>
    </xf>
    <xf numFmtId="0" fontId="5" fillId="3" borderId="4" xfId="0" applyFont="1" applyFill="1" applyBorder="1" applyAlignment="1">
      <alignment horizontal="left" vertical="center"/>
    </xf>
    <xf numFmtId="0" fontId="2" fillId="0" borderId="3" xfId="0" applyFont="1" applyBorder="1" applyAlignment="1">
      <alignment horizontal="center"/>
    </xf>
    <xf numFmtId="0" fontId="0" fillId="0" borderId="3" xfId="0" applyBorder="1"/>
    <xf numFmtId="0" fontId="2" fillId="0" borderId="0" xfId="0" applyFont="1" applyAlignment="1">
      <alignment horizontal="center" vertical="center"/>
    </xf>
    <xf numFmtId="0" fontId="8" fillId="0" borderId="0" xfId="0" applyFont="1"/>
    <xf numFmtId="0" fontId="7" fillId="0" borderId="0" xfId="0" applyFont="1" applyAlignment="1">
      <alignment horizontal="center" vertical="center"/>
    </xf>
    <xf numFmtId="0" fontId="12" fillId="0" borderId="3" xfId="0" applyFont="1" applyBorder="1"/>
    <xf numFmtId="0" fontId="13" fillId="6" borderId="14" xfId="0" applyFont="1" applyFill="1" applyBorder="1" applyAlignment="1">
      <alignment vertical="center"/>
    </xf>
    <xf numFmtId="0" fontId="7" fillId="5" borderId="7" xfId="4" applyAlignment="1"/>
    <xf numFmtId="0" fontId="15" fillId="6" borderId="14" xfId="0" applyFont="1" applyFill="1" applyBorder="1" applyAlignment="1">
      <alignment vertical="center"/>
    </xf>
    <xf numFmtId="0" fontId="4" fillId="0" borderId="3" xfId="0" applyFont="1" applyBorder="1" applyAlignment="1">
      <alignment horizontal="center"/>
    </xf>
    <xf numFmtId="0" fontId="4" fillId="0" borderId="6" xfId="0" applyFont="1" applyBorder="1" applyAlignment="1">
      <alignment horizontal="center"/>
    </xf>
    <xf numFmtId="0" fontId="0" fillId="0" borderId="0" xfId="0" applyAlignment="1">
      <alignment horizontal="center" vertical="center"/>
    </xf>
    <xf numFmtId="0" fontId="17" fillId="0" borderId="3" xfId="0" applyFont="1" applyBorder="1"/>
    <xf numFmtId="0" fontId="0" fillId="0" borderId="3" xfId="0" applyBorder="1" applyAlignment="1">
      <alignment horizontal="center"/>
    </xf>
    <xf numFmtId="14" fontId="0" fillId="0" borderId="3" xfId="0" applyNumberFormat="1" applyBorder="1" applyAlignment="1">
      <alignment horizontal="center"/>
    </xf>
    <xf numFmtId="0" fontId="0" fillId="0" borderId="3" xfId="0" applyBorder="1" applyAlignment="1">
      <alignment horizontal="center" vertical="center"/>
    </xf>
    <xf numFmtId="14" fontId="0" fillId="0" borderId="3" xfId="0" applyNumberFormat="1" applyBorder="1"/>
    <xf numFmtId="0" fontId="16" fillId="0" borderId="3" xfId="0" applyFont="1" applyBorder="1" applyAlignment="1">
      <alignment horizontal="center"/>
    </xf>
    <xf numFmtId="0" fontId="16" fillId="0" borderId="0" xfId="0" applyFont="1" applyAlignment="1">
      <alignment horizontal="center"/>
    </xf>
    <xf numFmtId="0" fontId="4" fillId="0" borderId="5" xfId="0" applyFont="1" applyBorder="1" applyAlignment="1">
      <alignment horizontal="center"/>
    </xf>
    <xf numFmtId="0" fontId="18" fillId="0" borderId="3" xfId="0" applyFont="1" applyBorder="1" applyAlignment="1">
      <alignment horizontal="center"/>
    </xf>
    <xf numFmtId="0" fontId="18" fillId="0" borderId="6" xfId="0" applyFont="1" applyBorder="1" applyAlignment="1">
      <alignment horizontal="center"/>
    </xf>
    <xf numFmtId="0" fontId="14" fillId="0" borderId="0" xfId="0" applyFont="1"/>
    <xf numFmtId="0" fontId="19" fillId="0" borderId="0" xfId="0" applyFont="1" applyAlignment="1">
      <alignment horizontal="center" vertical="center"/>
    </xf>
    <xf numFmtId="0" fontId="8" fillId="0" borderId="3" xfId="0" applyFont="1" applyBorder="1"/>
    <xf numFmtId="0" fontId="0" fillId="0" borderId="5" xfId="0" applyBorder="1"/>
    <xf numFmtId="0" fontId="2" fillId="7" borderId="3" xfId="0" applyFont="1" applyFill="1" applyBorder="1" applyAlignment="1">
      <alignment horizontal="center"/>
    </xf>
    <xf numFmtId="164" fontId="0" fillId="8" borderId="3" xfId="0" applyNumberFormat="1" applyFill="1" applyBorder="1" applyAlignment="1">
      <alignment horizontal="center"/>
    </xf>
    <xf numFmtId="164" fontId="0" fillId="0" borderId="3" xfId="0" applyNumberFormat="1" applyBorder="1" applyAlignment="1">
      <alignment horizontal="center"/>
    </xf>
    <xf numFmtId="164" fontId="2" fillId="9" borderId="3" xfId="0" applyNumberFormat="1" applyFont="1" applyFill="1" applyBorder="1" applyAlignment="1">
      <alignment horizontal="center"/>
    </xf>
    <xf numFmtId="0" fontId="2" fillId="0" borderId="3" xfId="0" applyFont="1" applyBorder="1"/>
    <xf numFmtId="164" fontId="2" fillId="10" borderId="3" xfId="0" applyNumberFormat="1" applyFont="1" applyFill="1" applyBorder="1" applyAlignment="1">
      <alignment horizontal="center"/>
    </xf>
    <xf numFmtId="164" fontId="0" fillId="10" borderId="3" xfId="0" applyNumberFormat="1" applyFill="1" applyBorder="1" applyAlignment="1">
      <alignment horizontal="center"/>
    </xf>
    <xf numFmtId="164" fontId="19" fillId="10" borderId="3" xfId="0" applyNumberFormat="1" applyFont="1" applyFill="1" applyBorder="1" applyAlignment="1">
      <alignment horizontal="center"/>
    </xf>
    <xf numFmtId="164" fontId="0" fillId="11" borderId="3" xfId="0" applyNumberFormat="1" applyFill="1" applyBorder="1" applyAlignment="1">
      <alignment horizontal="center"/>
    </xf>
    <xf numFmtId="164" fontId="0" fillId="12" borderId="3" xfId="0" applyNumberFormat="1" applyFill="1" applyBorder="1" applyAlignment="1">
      <alignment horizontal="center"/>
    </xf>
    <xf numFmtId="0" fontId="0" fillId="8" borderId="3" xfId="0" applyFill="1" applyBorder="1" applyAlignment="1">
      <alignment horizontal="left"/>
    </xf>
    <xf numFmtId="0" fontId="0" fillId="0" borderId="3" xfId="0" applyBorder="1" applyAlignment="1">
      <alignment horizontal="left"/>
    </xf>
    <xf numFmtId="0" fontId="2" fillId="9" borderId="3" xfId="0" applyFont="1" applyFill="1" applyBorder="1" applyAlignment="1">
      <alignment horizontal="left"/>
    </xf>
    <xf numFmtId="0" fontId="2" fillId="10" borderId="3" xfId="0" applyFont="1" applyFill="1" applyBorder="1" applyAlignment="1">
      <alignment horizontal="left"/>
    </xf>
    <xf numFmtId="0" fontId="0" fillId="10" borderId="3" xfId="0" applyFill="1" applyBorder="1" applyAlignment="1">
      <alignment horizontal="left"/>
    </xf>
    <xf numFmtId="0" fontId="0" fillId="11" borderId="3" xfId="0" applyFill="1" applyBorder="1" applyAlignment="1">
      <alignment horizontal="left"/>
    </xf>
    <xf numFmtId="0" fontId="0" fillId="12" borderId="3" xfId="0" applyFill="1" applyBorder="1" applyAlignment="1">
      <alignment horizontal="left"/>
    </xf>
    <xf numFmtId="44" fontId="0" fillId="0" borderId="3" xfId="1" applyFont="1" applyBorder="1" applyAlignment="1"/>
    <xf numFmtId="44" fontId="0" fillId="0" borderId="2" xfId="1" applyFont="1" applyBorder="1" applyAlignment="1"/>
    <xf numFmtId="0" fontId="2" fillId="0" borderId="16" xfId="0" applyFont="1" applyBorder="1" applyAlignment="1">
      <alignment horizontal="center"/>
    </xf>
    <xf numFmtId="0" fontId="21" fillId="0" borderId="0" xfId="0" applyFont="1" applyAlignment="1">
      <alignment horizontal="center" vertical="center"/>
    </xf>
    <xf numFmtId="0" fontId="2" fillId="0" borderId="3" xfId="0" applyFont="1" applyBorder="1" applyAlignment="1">
      <alignment horizontal="center" vertical="center"/>
    </xf>
    <xf numFmtId="0" fontId="0" fillId="0" borderId="0" xfId="0" applyAlignment="1">
      <alignment horizontal="right"/>
    </xf>
    <xf numFmtId="0" fontId="3" fillId="0" borderId="3" xfId="2" applyBorder="1" applyAlignment="1"/>
    <xf numFmtId="0" fontId="0" fillId="0" borderId="6" xfId="0" applyBorder="1"/>
    <xf numFmtId="0" fontId="9" fillId="0" borderId="3" xfId="0" applyFont="1" applyBorder="1"/>
    <xf numFmtId="44" fontId="20" fillId="0" borderId="3" xfId="1" applyFont="1" applyBorder="1" applyAlignment="1"/>
    <xf numFmtId="44" fontId="0" fillId="0" borderId="16" xfId="1" applyFont="1" applyBorder="1" applyAlignment="1"/>
    <xf numFmtId="0" fontId="0" fillId="0" borderId="16" xfId="0" applyBorder="1"/>
    <xf numFmtId="0" fontId="3" fillId="0" borderId="16" xfId="2" applyBorder="1" applyAlignment="1"/>
    <xf numFmtId="0" fontId="0" fillId="0" borderId="17" xfId="0" applyBorder="1"/>
    <xf numFmtId="44" fontId="0" fillId="0" borderId="5" xfId="1" applyFont="1" applyBorder="1" applyAlignment="1"/>
    <xf numFmtId="0" fontId="2" fillId="0" borderId="18" xfId="0" applyFont="1" applyBorder="1" applyAlignment="1">
      <alignment horizontal="center" vertical="center"/>
    </xf>
    <xf numFmtId="0" fontId="2" fillId="0" borderId="18" xfId="0" applyFont="1" applyBorder="1" applyAlignment="1">
      <alignment horizontal="center"/>
    </xf>
    <xf numFmtId="0" fontId="0" fillId="0" borderId="18" xfId="0" applyBorder="1"/>
    <xf numFmtId="0" fontId="9" fillId="0" borderId="5" xfId="0" applyFont="1" applyBorder="1"/>
    <xf numFmtId="0" fontId="9" fillId="0" borderId="2" xfId="0" applyFont="1" applyBorder="1"/>
    <xf numFmtId="0" fontId="9" fillId="0" borderId="1" xfId="0" applyFont="1" applyBorder="1"/>
    <xf numFmtId="0" fontId="10" fillId="0" borderId="19" xfId="0" applyFont="1" applyBorder="1"/>
    <xf numFmtId="0" fontId="9" fillId="0" borderId="18" xfId="0" applyFont="1" applyBorder="1"/>
    <xf numFmtId="0" fontId="10" fillId="0" borderId="18" xfId="0" applyFont="1" applyBorder="1"/>
    <xf numFmtId="0" fontId="0" fillId="0" borderId="18" xfId="0" applyBorder="1" applyAlignment="1">
      <alignment horizontal="center" vertical="center"/>
    </xf>
    <xf numFmtId="0" fontId="4" fillId="0" borderId="0" xfId="0" applyFont="1" applyAlignment="1">
      <alignment horizontal="center"/>
    </xf>
    <xf numFmtId="0" fontId="18" fillId="0" borderId="15" xfId="0" applyFont="1" applyBorder="1" applyAlignment="1">
      <alignment horizontal="center"/>
    </xf>
    <xf numFmtId="0" fontId="9" fillId="0" borderId="0" xfId="0" applyFont="1"/>
    <xf numFmtId="0" fontId="14" fillId="0" borderId="9" xfId="0" applyFont="1" applyBorder="1" applyAlignment="1">
      <alignment horizontal="center"/>
    </xf>
    <xf numFmtId="0" fontId="9" fillId="16" borderId="0" xfId="0" applyFont="1" applyFill="1"/>
    <xf numFmtId="0" fontId="9" fillId="17" borderId="0" xfId="0" applyFont="1" applyFill="1"/>
    <xf numFmtId="0" fontId="9" fillId="18" borderId="6" xfId="0" applyFont="1" applyFill="1" applyBorder="1"/>
    <xf numFmtId="0" fontId="9" fillId="19" borderId="0" xfId="0" applyFont="1" applyFill="1"/>
    <xf numFmtId="0" fontId="9" fillId="20" borderId="0" xfId="0" applyFont="1" applyFill="1"/>
    <xf numFmtId="0" fontId="6" fillId="4" borderId="9" xfId="3" applyBorder="1" applyAlignment="1">
      <alignment horizontal="center"/>
    </xf>
    <xf numFmtId="0" fontId="0" fillId="21" borderId="3" xfId="0" applyFill="1" applyBorder="1"/>
    <xf numFmtId="0" fontId="17" fillId="21" borderId="3" xfId="0" applyFont="1" applyFill="1" applyBorder="1"/>
    <xf numFmtId="14" fontId="25" fillId="15" borderId="16" xfId="5" applyNumberFormat="1" applyBorder="1" applyAlignment="1">
      <alignment horizontal="center"/>
    </xf>
    <xf numFmtId="14" fontId="0" fillId="0" borderId="16" xfId="0" applyNumberFormat="1" applyBorder="1" applyAlignment="1">
      <alignment horizontal="center"/>
    </xf>
    <xf numFmtId="14" fontId="25" fillId="15" borderId="3" xfId="5" applyNumberFormat="1" applyBorder="1"/>
    <xf numFmtId="14" fontId="6" fillId="4" borderId="3" xfId="3" applyNumberFormat="1" applyBorder="1"/>
    <xf numFmtId="14" fontId="8" fillId="0" borderId="3" xfId="0" applyNumberFormat="1" applyFont="1" applyBorder="1"/>
    <xf numFmtId="14" fontId="0" fillId="0" borderId="6" xfId="0" applyNumberFormat="1" applyBorder="1" applyAlignment="1">
      <alignment horizontal="center"/>
    </xf>
    <xf numFmtId="14" fontId="24" fillId="0" borderId="18" xfId="0" applyNumberFormat="1" applyFont="1" applyBorder="1"/>
    <xf numFmtId="14" fontId="24" fillId="0" borderId="18" xfId="0" applyNumberFormat="1" applyFont="1" applyBorder="1" applyAlignment="1">
      <alignment horizontal="center"/>
    </xf>
    <xf numFmtId="0" fontId="26" fillId="0" borderId="3" xfId="0" applyFont="1" applyBorder="1"/>
    <xf numFmtId="0" fontId="0" fillId="21" borderId="16" xfId="0" applyFill="1" applyBorder="1"/>
    <xf numFmtId="0" fontId="26" fillId="21" borderId="16" xfId="0" applyFont="1" applyFill="1" applyBorder="1"/>
    <xf numFmtId="0" fontId="27" fillId="0" borderId="0" xfId="0" applyFont="1"/>
    <xf numFmtId="14" fontId="27" fillId="0" borderId="0" xfId="0" applyNumberFormat="1" applyFont="1"/>
    <xf numFmtId="0" fontId="7" fillId="0" borderId="18" xfId="0" applyFont="1" applyBorder="1" applyAlignment="1">
      <alignment horizontal="center" vertical="center"/>
    </xf>
    <xf numFmtId="0" fontId="8" fillId="0" borderId="18" xfId="0" applyFont="1" applyBorder="1"/>
    <xf numFmtId="0" fontId="4" fillId="0" borderId="18" xfId="0" applyFont="1" applyBorder="1" applyAlignment="1">
      <alignment horizontal="center"/>
    </xf>
    <xf numFmtId="0" fontId="18" fillId="0" borderId="18" xfId="0" applyFont="1" applyBorder="1" applyAlignment="1">
      <alignment horizontal="center"/>
    </xf>
    <xf numFmtId="0" fontId="0" fillId="21" borderId="0" xfId="0" applyFill="1"/>
    <xf numFmtId="0" fontId="0" fillId="0" borderId="18" xfId="0" applyBorder="1" applyAlignment="1">
      <alignment horizontal="center"/>
    </xf>
    <xf numFmtId="14" fontId="0" fillId="0" borderId="18" xfId="0" applyNumberFormat="1" applyBorder="1" applyAlignment="1">
      <alignment horizontal="center"/>
    </xf>
    <xf numFmtId="14" fontId="25" fillId="15" borderId="18" xfId="5" applyNumberFormat="1" applyBorder="1" applyAlignment="1">
      <alignment horizontal="center"/>
    </xf>
    <xf numFmtId="14" fontId="25" fillId="15" borderId="18" xfId="5" applyNumberFormat="1" applyBorder="1"/>
    <xf numFmtId="14" fontId="0" fillId="0" borderId="18" xfId="0" applyNumberFormat="1" applyBorder="1"/>
    <xf numFmtId="14" fontId="6" fillId="4" borderId="18" xfId="3" applyNumberFormat="1" applyBorder="1"/>
    <xf numFmtId="14" fontId="29" fillId="0" borderId="18" xfId="0" applyNumberFormat="1" applyFont="1" applyBorder="1"/>
    <xf numFmtId="0" fontId="0" fillId="9" borderId="0" xfId="0" applyFill="1"/>
    <xf numFmtId="0" fontId="17" fillId="0" borderId="18" xfId="0" applyFont="1" applyBorder="1"/>
    <xf numFmtId="0" fontId="16" fillId="0" borderId="18" xfId="0" applyFont="1" applyBorder="1" applyAlignment="1">
      <alignment horizontal="center"/>
    </xf>
    <xf numFmtId="14" fontId="25" fillId="0" borderId="18" xfId="5" applyNumberFormat="1" applyFill="1" applyBorder="1"/>
    <xf numFmtId="0" fontId="0" fillId="8" borderId="0" xfId="0" applyFill="1"/>
    <xf numFmtId="14" fontId="0" fillId="23" borderId="3" xfId="0" applyNumberFormat="1" applyFill="1" applyBorder="1"/>
    <xf numFmtId="0" fontId="0" fillId="24" borderId="0" xfId="0" applyFill="1"/>
    <xf numFmtId="0" fontId="2" fillId="0" borderId="0" xfId="0" applyFont="1" applyAlignment="1">
      <alignment vertical="top" wrapText="1"/>
    </xf>
    <xf numFmtId="0" fontId="2" fillId="0" borderId="18" xfId="0" applyFont="1" applyBorder="1" applyAlignment="1">
      <alignment vertical="top" wrapText="1"/>
    </xf>
    <xf numFmtId="0" fontId="2" fillId="0" borderId="3" xfId="0" applyFont="1" applyBorder="1" applyAlignment="1">
      <alignment wrapText="1"/>
    </xf>
    <xf numFmtId="0" fontId="2" fillId="0" borderId="16" xfId="0" applyFont="1" applyBorder="1" applyAlignment="1">
      <alignment wrapText="1"/>
    </xf>
    <xf numFmtId="14" fontId="24" fillId="0" borderId="3" xfId="0" applyNumberFormat="1" applyFont="1" applyBorder="1" applyAlignment="1">
      <alignment horizontal="right"/>
    </xf>
    <xf numFmtId="0" fontId="24" fillId="0" borderId="3" xfId="0" applyFont="1" applyBorder="1" applyAlignment="1">
      <alignment horizontal="right"/>
    </xf>
    <xf numFmtId="14" fontId="24" fillId="13" borderId="3" xfId="0" applyNumberFormat="1" applyFont="1" applyFill="1" applyBorder="1" applyAlignment="1">
      <alignment horizontal="right"/>
    </xf>
    <xf numFmtId="0" fontId="24" fillId="13" borderId="3" xfId="0" applyFont="1" applyFill="1" applyBorder="1" applyAlignment="1">
      <alignment horizontal="right"/>
    </xf>
    <xf numFmtId="0" fontId="24" fillId="14" borderId="3" xfId="0" applyFont="1" applyFill="1" applyBorder="1" applyAlignment="1">
      <alignment horizontal="right"/>
    </xf>
    <xf numFmtId="0" fontId="0" fillId="0" borderId="0" xfId="0" applyAlignment="1">
      <alignment wrapText="1"/>
    </xf>
    <xf numFmtId="0" fontId="3" fillId="0" borderId="0" xfId="2"/>
    <xf numFmtId="0" fontId="31" fillId="0" borderId="0" xfId="8" applyFill="1" applyBorder="1" applyAlignment="1"/>
    <xf numFmtId="0" fontId="4" fillId="0" borderId="0" xfId="0" applyFont="1" applyAlignment="1">
      <alignment horizontal="center" vertical="center" textRotation="45"/>
    </xf>
    <xf numFmtId="0" fontId="34" fillId="0" borderId="0" xfId="0" applyFont="1" applyAlignment="1">
      <alignment horizontal="center" vertical="center" textRotation="45"/>
    </xf>
    <xf numFmtId="0" fontId="0" fillId="0" borderId="6" xfId="0" applyBorder="1" applyAlignment="1">
      <alignment horizontal="center"/>
    </xf>
    <xf numFmtId="9" fontId="6" fillId="29" borderId="5" xfId="6" applyFont="1" applyFill="1" applyBorder="1" applyAlignment="1">
      <alignment horizontal="center"/>
    </xf>
    <xf numFmtId="0" fontId="31" fillId="0" borderId="3" xfId="8" applyFill="1" applyBorder="1" applyAlignment="1">
      <alignment horizontal="center"/>
    </xf>
    <xf numFmtId="14" fontId="2" fillId="0" borderId="3" xfId="0" applyNumberFormat="1" applyFont="1" applyBorder="1" applyAlignment="1">
      <alignment horizontal="center"/>
    </xf>
    <xf numFmtId="14" fontId="14" fillId="0" borderId="3" xfId="3" applyNumberFormat="1" applyFont="1" applyFill="1" applyBorder="1" applyAlignment="1">
      <alignment horizontal="center"/>
    </xf>
    <xf numFmtId="14" fontId="35" fillId="0" borderId="3" xfId="0" applyNumberFormat="1" applyFont="1" applyBorder="1" applyAlignment="1">
      <alignment horizontal="center"/>
    </xf>
    <xf numFmtId="0" fontId="9" fillId="0" borderId="3" xfId="0" applyFont="1" applyBorder="1" applyAlignment="1">
      <alignment wrapText="1"/>
    </xf>
    <xf numFmtId="14" fontId="0" fillId="31" borderId="3" xfId="0" applyNumberFormat="1" applyFill="1" applyBorder="1"/>
    <xf numFmtId="14" fontId="41" fillId="15" borderId="18" xfId="5" applyNumberFormat="1" applyFont="1" applyBorder="1"/>
    <xf numFmtId="0" fontId="0" fillId="32" borderId="0" xfId="0" applyFill="1"/>
    <xf numFmtId="3" fontId="0" fillId="0" borderId="0" xfId="0" applyNumberFormat="1"/>
    <xf numFmtId="17" fontId="0" fillId="0" borderId="0" xfId="0" applyNumberFormat="1"/>
    <xf numFmtId="0" fontId="3" fillId="0" borderId="18" xfId="2" applyBorder="1" applyAlignment="1"/>
    <xf numFmtId="0" fontId="10" fillId="0" borderId="0" xfId="0" applyFont="1"/>
    <xf numFmtId="0" fontId="0" fillId="0" borderId="3" xfId="0" applyBorder="1" applyAlignment="1">
      <alignment wrapText="1"/>
    </xf>
    <xf numFmtId="0" fontId="22" fillId="0" borderId="18" xfId="0" applyFont="1" applyBorder="1"/>
    <xf numFmtId="44" fontId="0" fillId="0" borderId="0" xfId="1" applyFont="1"/>
    <xf numFmtId="0" fontId="42" fillId="0" borderId="3" xfId="0" applyFont="1" applyBorder="1"/>
    <xf numFmtId="0" fontId="42" fillId="0" borderId="5" xfId="0" applyFont="1" applyBorder="1"/>
    <xf numFmtId="0" fontId="43" fillId="2" borderId="2" xfId="0" applyFont="1" applyFill="1" applyBorder="1" applyAlignment="1">
      <alignment horizontal="center" vertical="center"/>
    </xf>
    <xf numFmtId="0" fontId="43" fillId="2" borderId="3" xfId="0" applyFont="1" applyFill="1" applyBorder="1" applyAlignment="1">
      <alignment horizontal="center" vertical="center"/>
    </xf>
    <xf numFmtId="0" fontId="43" fillId="3" borderId="2" xfId="0" applyFont="1" applyFill="1" applyBorder="1" applyAlignment="1">
      <alignment horizontal="center" vertical="center"/>
    </xf>
    <xf numFmtId="0" fontId="43" fillId="3" borderId="4" xfId="0" applyFont="1" applyFill="1" applyBorder="1" applyAlignment="1">
      <alignment horizontal="left" vertical="center"/>
    </xf>
    <xf numFmtId="44" fontId="0" fillId="0" borderId="2" xfId="1" applyFont="1" applyBorder="1"/>
    <xf numFmtId="0" fontId="42" fillId="0" borderId="2" xfId="0" applyFont="1" applyBorder="1"/>
    <xf numFmtId="0" fontId="42" fillId="0" borderId="1" xfId="0" applyFont="1" applyBorder="1"/>
    <xf numFmtId="0" fontId="22" fillId="0" borderId="19" xfId="0" applyFont="1" applyBorder="1"/>
    <xf numFmtId="0" fontId="29" fillId="0" borderId="0" xfId="0" applyFont="1" applyAlignment="1">
      <alignment horizontal="center" vertical="center"/>
    </xf>
    <xf numFmtId="0" fontId="3" fillId="0" borderId="3" xfId="2" applyBorder="1"/>
    <xf numFmtId="44" fontId="0" fillId="0" borderId="3" xfId="1" applyFont="1" applyBorder="1"/>
    <xf numFmtId="0" fontId="42" fillId="0" borderId="3" xfId="0" applyFont="1" applyBorder="1" applyAlignment="1">
      <alignment wrapText="1"/>
    </xf>
    <xf numFmtId="0" fontId="42" fillId="0" borderId="18" xfId="0" applyFont="1" applyBorder="1"/>
    <xf numFmtId="0" fontId="22" fillId="0" borderId="0" xfId="0" applyFont="1"/>
    <xf numFmtId="44" fontId="0" fillId="0" borderId="16" xfId="1" applyFont="1" applyBorder="1"/>
    <xf numFmtId="0" fontId="3" fillId="0" borderId="16" xfId="2" applyBorder="1"/>
    <xf numFmtId="44" fontId="0" fillId="0" borderId="5" xfId="1" applyFont="1" applyBorder="1"/>
    <xf numFmtId="0" fontId="3" fillId="0" borderId="18" xfId="2" applyBorder="1"/>
    <xf numFmtId="0" fontId="40" fillId="30" borderId="0" xfId="0" applyFont="1" applyFill="1"/>
    <xf numFmtId="0" fontId="0" fillId="34" borderId="0" xfId="0" applyFill="1"/>
    <xf numFmtId="0" fontId="45" fillId="0" borderId="0" xfId="0" applyFont="1"/>
    <xf numFmtId="0" fontId="46" fillId="0" borderId="0" xfId="0" applyFont="1" applyAlignment="1">
      <alignment horizontal="center" vertical="center"/>
    </xf>
    <xf numFmtId="0" fontId="42" fillId="0" borderId="3" xfId="0" applyFont="1" applyBorder="1" applyAlignment="1">
      <alignment vertical="top" wrapText="1"/>
    </xf>
    <xf numFmtId="0" fontId="0" fillId="0" borderId="3" xfId="0" applyBorder="1" applyAlignment="1">
      <alignment vertical="top" wrapText="1"/>
    </xf>
    <xf numFmtId="44" fontId="14" fillId="0" borderId="3" xfId="1" applyFont="1" applyBorder="1"/>
    <xf numFmtId="44" fontId="14" fillId="0" borderId="2" xfId="1" applyFont="1" applyBorder="1"/>
    <xf numFmtId="44" fontId="14" fillId="0" borderId="16" xfId="1" applyFont="1" applyBorder="1"/>
    <xf numFmtId="0" fontId="8" fillId="22" borderId="0" xfId="0" applyFont="1" applyFill="1"/>
    <xf numFmtId="0" fontId="33" fillId="0" borderId="0" xfId="0" applyFont="1"/>
    <xf numFmtId="0" fontId="4" fillId="0" borderId="0" xfId="0" applyFont="1"/>
    <xf numFmtId="0" fontId="37" fillId="0" borderId="0" xfId="0" quotePrefix="1" applyFont="1"/>
    <xf numFmtId="14" fontId="0" fillId="0" borderId="0" xfId="0" applyNumberFormat="1"/>
    <xf numFmtId="14" fontId="38" fillId="0" borderId="0" xfId="0" quotePrefix="1" applyNumberFormat="1" applyFont="1"/>
    <xf numFmtId="14" fontId="21" fillId="0" borderId="0" xfId="0" quotePrefix="1" applyNumberFormat="1" applyFont="1"/>
    <xf numFmtId="0" fontId="39" fillId="0" borderId="0" xfId="0" applyFont="1"/>
    <xf numFmtId="0" fontId="2" fillId="0" borderId="6" xfId="0" applyFont="1" applyBorder="1" applyAlignment="1">
      <alignment horizontal="center"/>
    </xf>
    <xf numFmtId="0" fontId="2" fillId="0" borderId="17" xfId="0" applyFont="1" applyBorder="1" applyAlignment="1">
      <alignment horizontal="center"/>
    </xf>
    <xf numFmtId="0" fontId="0" fillId="0" borderId="22" xfId="0" applyBorder="1"/>
    <xf numFmtId="0" fontId="5" fillId="2" borderId="4" xfId="0" applyFont="1" applyFill="1" applyBorder="1" applyAlignment="1">
      <alignment horizontal="center" vertical="center"/>
    </xf>
    <xf numFmtId="0" fontId="0" fillId="0" borderId="2" xfId="0" applyBorder="1"/>
    <xf numFmtId="0" fontId="36" fillId="28" borderId="18" xfId="0" applyFont="1" applyFill="1" applyBorder="1"/>
    <xf numFmtId="0" fontId="36" fillId="28" borderId="16" xfId="0" applyFont="1" applyFill="1" applyBorder="1"/>
    <xf numFmtId="0" fontId="0" fillId="0" borderId="11" xfId="0" applyBorder="1" applyAlignment="1">
      <alignment horizontal="center" vertical="center"/>
    </xf>
    <xf numFmtId="0" fontId="0" fillId="0" borderId="11" xfId="0" applyBorder="1"/>
    <xf numFmtId="0" fontId="0" fillId="0" borderId="11" xfId="0" applyBorder="1" applyAlignment="1">
      <alignment horizontal="center"/>
    </xf>
    <xf numFmtId="0" fontId="9" fillId="0" borderId="15" xfId="0" applyFont="1" applyBorder="1" applyAlignment="1"/>
    <xf numFmtId="0" fontId="9" fillId="0" borderId="5" xfId="0" applyFont="1" applyBorder="1" applyAlignment="1"/>
    <xf numFmtId="0" fontId="9" fillId="0" borderId="6" xfId="0" applyFont="1" applyBorder="1" applyAlignment="1">
      <alignment wrapText="1"/>
    </xf>
    <xf numFmtId="0" fontId="9" fillId="0" borderId="15" xfId="0" applyFont="1" applyBorder="1" applyAlignment="1">
      <alignment wrapText="1"/>
    </xf>
    <xf numFmtId="0" fontId="9" fillId="0" borderId="5" xfId="0" applyFont="1" applyBorder="1" applyAlignment="1">
      <alignment wrapText="1"/>
    </xf>
    <xf numFmtId="0" fontId="9" fillId="0" borderId="6" xfId="0" applyFont="1" applyBorder="1" applyAlignment="1"/>
    <xf numFmtId="0" fontId="9" fillId="0" borderId="0" xfId="0" applyFont="1" applyAlignment="1"/>
    <xf numFmtId="0" fontId="14" fillId="0" borderId="3" xfId="0" applyFont="1" applyBorder="1" applyAlignment="1">
      <alignment horizontal="center"/>
    </xf>
    <xf numFmtId="0" fontId="10" fillId="0" borderId="11" xfId="0" applyFont="1" applyBorder="1" applyAlignment="1">
      <alignment horizontal="center"/>
    </xf>
    <xf numFmtId="0" fontId="10" fillId="0" borderId="12" xfId="0" applyFont="1" applyBorder="1" applyAlignment="1">
      <alignment horizontal="center"/>
    </xf>
    <xf numFmtId="0" fontId="10" fillId="0" borderId="11" xfId="0" applyFont="1" applyBorder="1" applyAlignment="1"/>
    <xf numFmtId="0" fontId="10" fillId="0" borderId="12" xfId="0" applyFont="1" applyBorder="1" applyAlignment="1"/>
    <xf numFmtId="0" fontId="11" fillId="0" borderId="13" xfId="0" applyFont="1" applyBorder="1" applyAlignment="1"/>
    <xf numFmtId="0" fontId="11" fillId="0" borderId="12" xfId="0" applyFont="1" applyBorder="1" applyAlignment="1"/>
    <xf numFmtId="0" fontId="14" fillId="0" borderId="9" xfId="0" applyFont="1" applyBorder="1" applyAlignment="1">
      <alignment horizontal="center"/>
    </xf>
    <xf numFmtId="0" fontId="14" fillId="0" borderId="0" xfId="0" applyFont="1" applyAlignment="1">
      <alignment horizontal="center"/>
    </xf>
    <xf numFmtId="0" fontId="23" fillId="0" borderId="13" xfId="0" applyFont="1" applyBorder="1" applyAlignment="1"/>
    <xf numFmtId="0" fontId="23" fillId="0" borderId="12" xfId="0" applyFont="1" applyBorder="1" applyAlignment="1"/>
    <xf numFmtId="0" fontId="22" fillId="0" borderId="13" xfId="0" applyFont="1" applyBorder="1" applyAlignment="1"/>
    <xf numFmtId="0" fontId="22" fillId="0" borderId="12" xfId="0" applyFont="1" applyBorder="1" applyAlignment="1"/>
    <xf numFmtId="0" fontId="23" fillId="0" borderId="11" xfId="0" applyFont="1" applyBorder="1" applyAlignment="1"/>
    <xf numFmtId="0" fontId="11" fillId="0" borderId="11" xfId="0" applyFont="1" applyBorder="1" applyAlignment="1"/>
    <xf numFmtId="0" fontId="11" fillId="0" borderId="20" xfId="0" applyFont="1" applyBorder="1" applyAlignment="1"/>
    <xf numFmtId="0" fontId="4" fillId="0" borderId="6" xfId="0" applyFont="1" applyBorder="1" applyAlignment="1">
      <alignment horizontal="center"/>
    </xf>
    <xf numFmtId="0" fontId="4" fillId="0" borderId="5" xfId="0" applyFont="1" applyBorder="1" applyAlignment="1">
      <alignment horizontal="center"/>
    </xf>
    <xf numFmtId="0" fontId="16" fillId="0" borderId="15" xfId="0" applyFont="1" applyBorder="1" applyAlignment="1">
      <alignment horizontal="center"/>
    </xf>
    <xf numFmtId="0" fontId="16" fillId="0" borderId="5" xfId="0" applyFont="1" applyBorder="1" applyAlignment="1">
      <alignment horizontal="center"/>
    </xf>
    <xf numFmtId="0" fontId="16" fillId="0" borderId="6" xfId="0" applyFont="1" applyBorder="1" applyAlignment="1">
      <alignment horizontal="center"/>
    </xf>
    <xf numFmtId="0" fontId="11" fillId="0" borderId="6" xfId="0" applyFont="1" applyBorder="1" applyAlignment="1"/>
    <xf numFmtId="0" fontId="11" fillId="0" borderId="5" xfId="0" applyFont="1" applyBorder="1" applyAlignment="1"/>
    <xf numFmtId="0" fontId="2" fillId="0" borderId="6" xfId="0" applyFont="1" applyBorder="1" applyAlignment="1"/>
    <xf numFmtId="0" fontId="2" fillId="0" borderId="5" xfId="0" applyFont="1" applyBorder="1" applyAlignment="1"/>
    <xf numFmtId="0" fontId="12" fillId="0" borderId="3" xfId="0" applyFont="1" applyBorder="1" applyAlignment="1"/>
    <xf numFmtId="0" fontId="4" fillId="0" borderId="15" xfId="0" applyFont="1" applyBorder="1" applyAlignment="1">
      <alignment horizontal="center"/>
    </xf>
    <xf numFmtId="0" fontId="0" fillId="0" borderId="0" xfId="0" applyAlignment="1">
      <alignment horizontal="center"/>
    </xf>
    <xf numFmtId="0" fontId="14" fillId="0" borderId="10" xfId="0" applyFont="1" applyBorder="1" applyAlignment="1">
      <alignment horizontal="center"/>
    </xf>
    <xf numFmtId="0" fontId="10" fillId="0" borderId="13" xfId="0" applyFont="1" applyBorder="1" applyAlignment="1"/>
    <xf numFmtId="0" fontId="16" fillId="0" borderId="8" xfId="0" applyFont="1" applyBorder="1" applyAlignment="1">
      <alignment horizontal="center"/>
    </xf>
    <xf numFmtId="0" fontId="16" fillId="0" borderId="1" xfId="0" applyFont="1" applyBorder="1" applyAlignment="1">
      <alignment horizontal="center"/>
    </xf>
    <xf numFmtId="0" fontId="12" fillId="0" borderId="13" xfId="0" applyFont="1" applyBorder="1" applyAlignment="1"/>
    <xf numFmtId="0" fontId="12" fillId="0" borderId="12" xfId="0" applyFont="1" applyBorder="1" applyAlignment="1"/>
    <xf numFmtId="0" fontId="0" fillId="0" borderId="0" xfId="0" applyAlignment="1"/>
    <xf numFmtId="0" fontId="10" fillId="0" borderId="18" xfId="0" applyFont="1" applyBorder="1" applyAlignment="1"/>
    <xf numFmtId="0" fontId="14" fillId="0" borderId="18" xfId="0" applyFont="1" applyBorder="1" applyAlignment="1">
      <alignment horizontal="center"/>
    </xf>
    <xf numFmtId="0" fontId="4" fillId="0" borderId="18" xfId="0" applyFont="1" applyBorder="1" applyAlignment="1">
      <alignment horizontal="center"/>
    </xf>
    <xf numFmtId="0" fontId="28" fillId="0" borderId="0" xfId="0" applyFont="1" applyAlignment="1"/>
    <xf numFmtId="0" fontId="22" fillId="0" borderId="18" xfId="0" applyFont="1" applyBorder="1" applyAlignment="1"/>
    <xf numFmtId="0" fontId="0" fillId="0" borderId="3" xfId="0" applyBorder="1" applyAlignment="1"/>
    <xf numFmtId="0" fontId="0" fillId="0" borderId="18" xfId="0" applyBorder="1" applyAlignment="1"/>
    <xf numFmtId="0" fontId="0" fillId="0" borderId="5" xfId="0" applyBorder="1" applyAlignment="1"/>
    <xf numFmtId="0" fontId="44" fillId="33" borderId="0" xfId="0" applyFont="1" applyFill="1" applyAlignment="1">
      <alignment horizontal="center"/>
    </xf>
    <xf numFmtId="0" fontId="8" fillId="27" borderId="0" xfId="0" applyFont="1" applyFill="1" applyAlignment="1">
      <alignment horizontal="center"/>
    </xf>
    <xf numFmtId="0" fontId="32" fillId="0" borderId="0" xfId="0" applyFont="1" applyAlignment="1">
      <alignment horizontal="center" vertical="center" textRotation="45"/>
    </xf>
    <xf numFmtId="0" fontId="32" fillId="0" borderId="21" xfId="0" applyFont="1" applyBorder="1" applyAlignment="1">
      <alignment horizontal="center" vertical="center" textRotation="45"/>
    </xf>
    <xf numFmtId="0" fontId="30" fillId="25" borderId="0" xfId="7" applyAlignment="1">
      <alignment horizontal="center"/>
    </xf>
    <xf numFmtId="0" fontId="6" fillId="4" borderId="0" xfId="3" applyBorder="1" applyAlignment="1">
      <alignment horizontal="center"/>
    </xf>
    <xf numFmtId="0" fontId="25" fillId="15" borderId="0" xfId="5" applyBorder="1" applyAlignment="1">
      <alignment horizontal="center"/>
    </xf>
  </cellXfs>
  <cellStyles count="9">
    <cellStyle name="Accent1" xfId="8" builtinId="29"/>
    <cellStyle name="Bad" xfId="7" builtinId="27"/>
    <cellStyle name="Check Cell" xfId="4" builtinId="23"/>
    <cellStyle name="Currency" xfId="1" builtinId="4"/>
    <cellStyle name="Good" xfId="5" builtinId="26"/>
    <cellStyle name="Hyperlink" xfId="2" builtinId="8"/>
    <cellStyle name="Neutral" xfId="3" builtinId="28"/>
    <cellStyle name="Normal" xfId="0" builtinId="0"/>
    <cellStyle name="Percent" xfId="6" builtinId="5"/>
  </cellStyles>
  <dxfs count="228">
    <dxf>
      <fill>
        <patternFill>
          <bgColor theme="9" tint="0.39994506668294322"/>
        </patternFill>
      </fill>
    </dxf>
    <dxf>
      <fill>
        <patternFill>
          <bgColor theme="3" tint="0.79998168889431442"/>
        </patternFill>
      </fill>
    </dxf>
    <dxf>
      <fill>
        <patternFill>
          <bgColor theme="3" tint="0.79998168889431442"/>
        </patternFill>
      </fill>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style="thin">
          <color rgb="FF000000"/>
        </vertical>
        <horizontal style="thin">
          <color rgb="FF000000"/>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wrapText="0"/>
    </dxf>
    <dxf>
      <border outline="0">
        <bottom style="thin">
          <color indexed="64"/>
        </bottom>
      </border>
    </dxf>
    <dxf>
      <alignment horizontal="general" vertical="bottom" textRotation="0" wrapText="0" indent="0" justifyLastLine="0" shrinkToFit="0" readingOrder="0"/>
      <border diagonalUp="0" diagonalDown="0">
        <left style="thin">
          <color indexed="64"/>
        </left>
        <right style="thin">
          <color indexed="64"/>
        </right>
        <top/>
        <bottom/>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wrapText="0"/>
    </dxf>
    <dxf>
      <border outline="0">
        <bottom style="thin">
          <color indexed="64"/>
        </bottom>
      </border>
    </dxf>
    <dxf>
      <alignment horizontal="general" vertical="bottom" textRotation="0" wrapText="0" indent="0" justifyLastLine="0" shrinkToFit="0" readingOrder="0"/>
      <border diagonalUp="0" diagonalDown="0">
        <left style="thin">
          <color indexed="64"/>
        </left>
        <right style="thin">
          <color indexed="64"/>
        </right>
        <top/>
        <bottom/>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strike val="0"/>
        <outline val="0"/>
        <shadow val="0"/>
        <u val="none"/>
        <vertAlign val="baseline"/>
        <sz val="11"/>
        <color auto="1"/>
        <name val="Calibri"/>
        <family val="2"/>
        <scheme val="minor"/>
      </font>
      <numFmt numFmtId="34" formatCode="_(&quot;$&quot;* #,##0.00_);_(&quot;$&quot;* \(#,##0.00\);_(&quot;$&quot;* &quot;-&quot;??_);_(@_)"/>
      <alignment wrapText="0"/>
      <border diagonalUp="0" diagonalDown="0">
        <left style="thin">
          <color indexed="64"/>
        </left>
        <right style="thin">
          <color indexed="64"/>
        </right>
        <top style="thin">
          <color indexed="64"/>
        </top>
        <bottom style="thin">
          <color indexed="64"/>
        </bottom>
      </border>
    </dxf>
    <dxf>
      <alignment wrapText="0"/>
      <border diagonalUp="0" diagonalDown="0" outline="0">
        <left style="thin">
          <color indexed="64"/>
        </left>
        <right style="thin">
          <color indexed="64"/>
        </right>
        <top style="thin">
          <color indexed="64"/>
        </top>
        <bottom style="thin">
          <color indexed="64"/>
        </bottom>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wrapText="0"/>
      <border diagonalUp="0" diagonalDown="0">
        <left style="thin">
          <color indexed="64"/>
        </left>
        <right style="thin">
          <color indexed="64"/>
        </right>
        <top style="thin">
          <color indexed="64"/>
        </top>
        <bottom style="thin">
          <color indexed="64"/>
        </bottom>
        <vertical/>
        <horizontal/>
      </border>
    </dxf>
    <dxf>
      <alignment textRotation="0" wrapText="0" indent="0" justifyLastLine="0" shrinkToFit="0" readingOrder="0"/>
      <border diagonalUp="0" diagonalDown="0">
        <left style="thin">
          <color indexed="64"/>
        </left>
        <right style="thin">
          <color indexed="64"/>
        </right>
        <top style="thin">
          <color indexed="64"/>
        </top>
        <bottom style="thin">
          <color indexed="64"/>
        </bottom>
      </border>
    </dxf>
    <dxf>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wrapText="0"/>
    </dxf>
    <dxf>
      <border outline="0">
        <bottom style="thin">
          <color indexed="64"/>
        </bottom>
      </border>
    </dxf>
    <dxf>
      <alignment horizontal="general" vertical="bottom" textRotation="0" wrapText="0" indent="0" justifyLastLine="0" shrinkToFit="0" readingOrder="0"/>
      <border diagonalUp="0" diagonalDown="0">
        <left style="thin">
          <color indexed="64"/>
        </left>
        <right style="thin">
          <color indexed="64"/>
        </right>
        <top/>
        <bottom/>
      </border>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ont>
        <color rgb="FFFFFFFF"/>
      </font>
    </dxf>
    <dxf>
      <font>
        <color rgb="FFFFFFFF"/>
      </font>
    </dxf>
    <dxf>
      <font>
        <color rgb="FFFFFFFF"/>
      </font>
    </dxf>
    <dxf>
      <font>
        <color rgb="FFFFFFFF"/>
      </font>
    </dxf>
    <dxf>
      <font>
        <color rgb="FFFFFFFF"/>
      </font>
    </dxf>
    <dxf>
      <font>
        <color rgb="FFFFFFFF"/>
      </font>
    </dxf>
    <dxf>
      <font>
        <color rgb="FFFFFFFF"/>
      </font>
    </dxf>
    <dxf>
      <font>
        <color rgb="FFFFFFFF"/>
      </font>
    </dxf>
    <dxf>
      <font>
        <color auto="1"/>
      </font>
      <fill>
        <patternFill>
          <bgColor theme="0"/>
        </patternFill>
      </fill>
    </dxf>
    <dxf>
      <font>
        <color auto="1"/>
      </font>
      <fill>
        <patternFill>
          <bgColor theme="0"/>
        </patternFill>
      </fill>
    </dxf>
    <dxf>
      <font>
        <color auto="1"/>
      </font>
      <fill>
        <patternFill>
          <bgColor theme="0"/>
        </patternFill>
      </fill>
    </dxf>
    <dxf>
      <fill>
        <patternFill>
          <bgColor theme="3" tint="0.79998168889431442"/>
        </patternFill>
      </fill>
    </dxf>
    <dxf>
      <font>
        <color rgb="FF00B050"/>
      </font>
      <fill>
        <patternFill>
          <bgColor theme="3" tint="0.79998168889431442"/>
        </patternFill>
      </fill>
    </dxf>
    <dxf>
      <font>
        <color rgb="FF00B050"/>
      </font>
      <fill>
        <patternFill>
          <bgColor theme="3" tint="0.7999816888943144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00B050"/>
      </font>
      <fill>
        <patternFill>
          <bgColor theme="3" tint="0.79998168889431442"/>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auto="1"/>
      </font>
      <fill>
        <patternFill>
          <bgColor theme="0"/>
        </patternFill>
      </fill>
    </dxf>
    <dxf>
      <font>
        <color rgb="FF00B050"/>
      </font>
      <fill>
        <patternFill>
          <bgColor theme="3" tint="0.79998168889431442"/>
        </patternFill>
      </fill>
    </dxf>
    <dxf>
      <font>
        <color rgb="FFFFFFFF"/>
      </font>
    </dxf>
    <dxf>
      <font>
        <color rgb="FFFFFFFF"/>
      </font>
    </dxf>
    <dxf>
      <font>
        <color rgb="FFFFFFFF"/>
      </font>
    </dxf>
    <dxf>
      <fill>
        <patternFill patternType="solid">
          <fgColor theme="0"/>
          <bgColor auto="1"/>
        </patternFill>
      </fill>
    </dxf>
    <dxf>
      <fill>
        <patternFill patternType="solid">
          <fgColor theme="0"/>
          <bgColor auto="1"/>
        </patternFill>
      </fill>
    </dxf>
    <dxf>
      <font>
        <color rgb="FFFFFFFF"/>
      </font>
    </dxf>
    <dxf>
      <font>
        <color rgb="FFFFFFFF"/>
      </font>
    </dxf>
    <dxf>
      <font>
        <color rgb="FFFFFFFF"/>
      </font>
    </dxf>
    <dxf>
      <font>
        <color auto="1"/>
      </font>
      <fill>
        <patternFill>
          <bgColor theme="0"/>
        </patternFill>
      </fill>
    </dxf>
    <dxf>
      <font>
        <color rgb="FF00B050"/>
      </font>
      <fill>
        <patternFill>
          <bgColor theme="3" tint="0.79998168889431442"/>
        </patternFill>
      </fill>
    </dxf>
    <dxf>
      <font>
        <color rgb="FF00B050"/>
      </font>
      <fill>
        <patternFill>
          <bgColor theme="3" tint="0.79998168889431442"/>
        </patternFill>
      </fill>
    </dxf>
    <dxf>
      <font>
        <color rgb="FF00B050"/>
      </font>
      <fill>
        <patternFill>
          <bgColor theme="3" tint="0.79998168889431442"/>
        </patternFill>
      </fill>
    </dxf>
    <dxf>
      <fill>
        <patternFill>
          <bgColor theme="3" tint="0.79998168889431442"/>
        </patternFill>
      </fill>
    </dxf>
    <dxf>
      <font>
        <color rgb="FF00B050"/>
      </font>
      <fill>
        <patternFill>
          <bgColor theme="3" tint="0.79998168889431442"/>
        </patternFill>
      </fill>
    </dxf>
    <dxf>
      <font>
        <color rgb="FF00B050"/>
      </font>
      <fill>
        <patternFill>
          <bgColor theme="3" tint="0.79998168889431442"/>
        </patternFill>
      </fill>
    </dxf>
    <dxf>
      <font>
        <color rgb="FF00B050"/>
      </font>
      <fill>
        <patternFill>
          <bgColor theme="3" tint="0.79998168889431442"/>
        </patternFill>
      </fill>
    </dxf>
    <dxf>
      <font>
        <color auto="1"/>
      </font>
      <fill>
        <patternFill>
          <bgColor theme="0"/>
        </patternFill>
      </fill>
    </dxf>
    <dxf>
      <font>
        <color rgb="FF00B050"/>
      </font>
      <fill>
        <patternFill>
          <bgColor theme="3" tint="0.79998168889431442"/>
        </patternFill>
      </fill>
    </dxf>
  </dxfs>
  <tableStyles count="1" defaultTableStyle="TableStyleMedium2" defaultPivotStyle="PivotStyleMedium9">
    <tableStyle name="Invisible" pivot="0" table="0" count="0" xr9:uid="{103A8941-955C-4225-85A9-E5F9024A9E4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95250</xdr:rowOff>
    </xdr:from>
    <xdr:to>
      <xdr:col>3</xdr:col>
      <xdr:colOff>19050</xdr:colOff>
      <xdr:row>2</xdr:row>
      <xdr:rowOff>38100</xdr:rowOff>
    </xdr:to>
    <xdr:pic>
      <xdr:nvPicPr>
        <xdr:cNvPr id="2" name="Picture 1">
          <a:extLst>
            <a:ext uri="{FF2B5EF4-FFF2-40B4-BE49-F238E27FC236}">
              <a16:creationId xmlns:a16="http://schemas.microsoft.com/office/drawing/2014/main" id="{5457D197-5AB6-46AB-89D7-1FB2698F3038}"/>
            </a:ext>
            <a:ext uri="{147F2762-F138-4A5C-976F-8EAC2B608ADB}">
              <a16:predDERef xmlns:a16="http://schemas.microsoft.com/office/drawing/2014/main" pred="{00000000-0008-0000-0700-00002F000000}"/>
            </a:ext>
          </a:extLst>
        </xdr:cNvPr>
        <xdr:cNvPicPr>
          <a:picLocks noChangeAspect="1"/>
        </xdr:cNvPicPr>
      </xdr:nvPicPr>
      <xdr:blipFill>
        <a:blip xmlns:r="http://schemas.openxmlformats.org/officeDocument/2006/relationships" r:embed="rId1"/>
        <a:stretch>
          <a:fillRect/>
        </a:stretch>
      </xdr:blipFill>
      <xdr:spPr>
        <a:xfrm>
          <a:off x="47625" y="95250"/>
          <a:ext cx="1504950" cy="3238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47625</xdr:colOff>
      <xdr:row>0</xdr:row>
      <xdr:rowOff>95250</xdr:rowOff>
    </xdr:from>
    <xdr:to>
      <xdr:col>1</xdr:col>
      <xdr:colOff>1295400</xdr:colOff>
      <xdr:row>2</xdr:row>
      <xdr:rowOff>38100</xdr:rowOff>
    </xdr:to>
    <xdr:pic>
      <xdr:nvPicPr>
        <xdr:cNvPr id="2" name="Picture 1">
          <a:extLst>
            <a:ext uri="{FF2B5EF4-FFF2-40B4-BE49-F238E27FC236}">
              <a16:creationId xmlns:a16="http://schemas.microsoft.com/office/drawing/2014/main" id="{A4EB0883-25A4-4EBF-91AB-01356AA0473C}"/>
            </a:ext>
            <a:ext uri="{147F2762-F138-4A5C-976F-8EAC2B608ADB}">
              <a16:predDERef xmlns:a16="http://schemas.microsoft.com/office/drawing/2014/main" pred="{00000000-0008-0000-0700-00002F000000}"/>
            </a:ext>
          </a:extLst>
        </xdr:cNvPr>
        <xdr:cNvPicPr>
          <a:picLocks noChangeAspect="1"/>
        </xdr:cNvPicPr>
      </xdr:nvPicPr>
      <xdr:blipFill>
        <a:blip xmlns:r="http://schemas.openxmlformats.org/officeDocument/2006/relationships" r:embed="rId1"/>
        <a:stretch>
          <a:fillRect/>
        </a:stretch>
      </xdr:blipFill>
      <xdr:spPr>
        <a:xfrm>
          <a:off x="47625" y="95250"/>
          <a:ext cx="1504950" cy="3238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47625</xdr:colOff>
      <xdr:row>0</xdr:row>
      <xdr:rowOff>95250</xdr:rowOff>
    </xdr:from>
    <xdr:to>
      <xdr:col>1</xdr:col>
      <xdr:colOff>1162050</xdr:colOff>
      <xdr:row>2</xdr:row>
      <xdr:rowOff>38100</xdr:rowOff>
    </xdr:to>
    <xdr:pic>
      <xdr:nvPicPr>
        <xdr:cNvPr id="2" name="Picture 1">
          <a:extLst>
            <a:ext uri="{FF2B5EF4-FFF2-40B4-BE49-F238E27FC236}">
              <a16:creationId xmlns:a16="http://schemas.microsoft.com/office/drawing/2014/main" id="{CF6F07D8-30DF-48E8-8869-F50ABC46E058}"/>
            </a:ext>
            <a:ext uri="{147F2762-F138-4A5C-976F-8EAC2B608ADB}">
              <a16:predDERef xmlns:a16="http://schemas.microsoft.com/office/drawing/2014/main" pred="{00000000-0008-0000-0700-00002F000000}"/>
            </a:ext>
          </a:extLst>
        </xdr:cNvPr>
        <xdr:cNvPicPr>
          <a:picLocks noChangeAspect="1"/>
        </xdr:cNvPicPr>
      </xdr:nvPicPr>
      <xdr:blipFill>
        <a:blip xmlns:r="http://schemas.openxmlformats.org/officeDocument/2006/relationships" r:embed="rId1"/>
        <a:stretch>
          <a:fillRect/>
        </a:stretch>
      </xdr:blipFill>
      <xdr:spPr>
        <a:xfrm>
          <a:off x="47625" y="95250"/>
          <a:ext cx="1504950" cy="3238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44450</xdr:colOff>
      <xdr:row>1</xdr:row>
      <xdr:rowOff>19050</xdr:rowOff>
    </xdr:from>
    <xdr:to>
      <xdr:col>2</xdr:col>
      <xdr:colOff>466725</xdr:colOff>
      <xdr:row>2</xdr:row>
      <xdr:rowOff>139700</xdr:rowOff>
    </xdr:to>
    <xdr:pic>
      <xdr:nvPicPr>
        <xdr:cNvPr id="2" name="Picture 1">
          <a:extLst>
            <a:ext uri="{FF2B5EF4-FFF2-40B4-BE49-F238E27FC236}">
              <a16:creationId xmlns:a16="http://schemas.microsoft.com/office/drawing/2014/main" id="{E92C48EC-8229-480A-B55B-FE353E4117A4}"/>
            </a:ext>
            <a:ext uri="{147F2762-F138-4A5C-976F-8EAC2B608ADB}">
              <a16:predDERef xmlns:a16="http://schemas.microsoft.com/office/drawing/2014/main" pred="{00000000-0008-0000-0700-00002F000000}"/>
            </a:ext>
          </a:extLst>
        </xdr:cNvPr>
        <xdr:cNvPicPr>
          <a:picLocks noChangeAspect="1"/>
        </xdr:cNvPicPr>
      </xdr:nvPicPr>
      <xdr:blipFill>
        <a:blip xmlns:r="http://schemas.openxmlformats.org/officeDocument/2006/relationships" r:embed="rId1"/>
        <a:stretch>
          <a:fillRect/>
        </a:stretch>
      </xdr:blipFill>
      <xdr:spPr>
        <a:xfrm>
          <a:off x="44450" y="200025"/>
          <a:ext cx="1533525" cy="3048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53975</xdr:colOff>
      <xdr:row>1</xdr:row>
      <xdr:rowOff>19050</xdr:rowOff>
    </xdr:from>
    <xdr:to>
      <xdr:col>2</xdr:col>
      <xdr:colOff>498475</xdr:colOff>
      <xdr:row>2</xdr:row>
      <xdr:rowOff>149225</xdr:rowOff>
    </xdr:to>
    <xdr:pic>
      <xdr:nvPicPr>
        <xdr:cNvPr id="3" name="Picture 1">
          <a:extLst>
            <a:ext uri="{FF2B5EF4-FFF2-40B4-BE49-F238E27FC236}">
              <a16:creationId xmlns:a16="http://schemas.microsoft.com/office/drawing/2014/main" id="{0EBF83EB-5EDD-4C09-9A2C-D6DBAE26E678}"/>
            </a:ext>
            <a:ext uri="{147F2762-F138-4A5C-976F-8EAC2B608ADB}">
              <a16:predDERef xmlns:a16="http://schemas.microsoft.com/office/drawing/2014/main" pred="{00000000-0008-0000-0700-00002F000000}"/>
            </a:ext>
          </a:extLst>
        </xdr:cNvPr>
        <xdr:cNvPicPr>
          <a:picLocks noChangeAspect="1"/>
        </xdr:cNvPicPr>
      </xdr:nvPicPr>
      <xdr:blipFill>
        <a:blip xmlns:r="http://schemas.openxmlformats.org/officeDocument/2006/relationships" r:embed="rId1"/>
        <a:stretch>
          <a:fillRect/>
        </a:stretch>
      </xdr:blipFill>
      <xdr:spPr>
        <a:xfrm>
          <a:off x="53975" y="203200"/>
          <a:ext cx="1530350" cy="311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47625</xdr:colOff>
      <xdr:row>0</xdr:row>
      <xdr:rowOff>95250</xdr:rowOff>
    </xdr:from>
    <xdr:to>
      <xdr:col>2</xdr:col>
      <xdr:colOff>466725</xdr:colOff>
      <xdr:row>2</xdr:row>
      <xdr:rowOff>38100</xdr:rowOff>
    </xdr:to>
    <xdr:pic>
      <xdr:nvPicPr>
        <xdr:cNvPr id="2" name="Picture 1">
          <a:extLst>
            <a:ext uri="{FF2B5EF4-FFF2-40B4-BE49-F238E27FC236}">
              <a16:creationId xmlns:a16="http://schemas.microsoft.com/office/drawing/2014/main" id="{1A64B2C1-0F1D-4358-94DE-71A48D4950A5}"/>
            </a:ext>
            <a:ext uri="{147F2762-F138-4A5C-976F-8EAC2B608ADB}">
              <a16:predDERef xmlns:a16="http://schemas.microsoft.com/office/drawing/2014/main" pred="{00000000-0008-0000-0700-00002F000000}"/>
            </a:ext>
          </a:extLst>
        </xdr:cNvPr>
        <xdr:cNvPicPr>
          <a:picLocks noChangeAspect="1"/>
        </xdr:cNvPicPr>
      </xdr:nvPicPr>
      <xdr:blipFill>
        <a:blip xmlns:r="http://schemas.openxmlformats.org/officeDocument/2006/relationships" r:embed="rId1"/>
        <a:stretch>
          <a:fillRect/>
        </a:stretch>
      </xdr:blipFill>
      <xdr:spPr>
        <a:xfrm>
          <a:off x="47625" y="95250"/>
          <a:ext cx="1504950" cy="3238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66675</xdr:colOff>
      <xdr:row>1</xdr:row>
      <xdr:rowOff>28575</xdr:rowOff>
    </xdr:from>
    <xdr:to>
      <xdr:col>1</xdr:col>
      <xdr:colOff>1076325</xdr:colOff>
      <xdr:row>2</xdr:row>
      <xdr:rowOff>133350</xdr:rowOff>
    </xdr:to>
    <xdr:pic>
      <xdr:nvPicPr>
        <xdr:cNvPr id="2" name="Picture 1">
          <a:extLst>
            <a:ext uri="{FF2B5EF4-FFF2-40B4-BE49-F238E27FC236}">
              <a16:creationId xmlns:a16="http://schemas.microsoft.com/office/drawing/2014/main" id="{CBBB479E-C550-434F-A1FB-98019937B162}"/>
            </a:ext>
            <a:ext uri="{147F2762-F138-4A5C-976F-8EAC2B608ADB}">
              <a16:predDERef xmlns:a16="http://schemas.microsoft.com/office/drawing/2014/main" pred="{00000000-0008-0000-0700-00002F000000}"/>
            </a:ext>
          </a:extLst>
        </xdr:cNvPr>
        <xdr:cNvPicPr>
          <a:picLocks noChangeAspect="1"/>
        </xdr:cNvPicPr>
      </xdr:nvPicPr>
      <xdr:blipFill>
        <a:blip xmlns:r="http://schemas.openxmlformats.org/officeDocument/2006/relationships" r:embed="rId1"/>
        <a:stretch>
          <a:fillRect/>
        </a:stretch>
      </xdr:blipFill>
      <xdr:spPr>
        <a:xfrm>
          <a:off x="66675" y="209550"/>
          <a:ext cx="1504950" cy="2857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47625</xdr:colOff>
      <xdr:row>0</xdr:row>
      <xdr:rowOff>95250</xdr:rowOff>
    </xdr:from>
    <xdr:to>
      <xdr:col>2</xdr:col>
      <xdr:colOff>47625</xdr:colOff>
      <xdr:row>2</xdr:row>
      <xdr:rowOff>38100</xdr:rowOff>
    </xdr:to>
    <xdr:pic>
      <xdr:nvPicPr>
        <xdr:cNvPr id="2" name="Picture 1">
          <a:extLst>
            <a:ext uri="{FF2B5EF4-FFF2-40B4-BE49-F238E27FC236}">
              <a16:creationId xmlns:a16="http://schemas.microsoft.com/office/drawing/2014/main" id="{46925B6F-3419-49A2-8344-62165A6E9A0C}"/>
            </a:ext>
            <a:ext uri="{147F2762-F138-4A5C-976F-8EAC2B608ADB}">
              <a16:predDERef xmlns:a16="http://schemas.microsoft.com/office/drawing/2014/main" pred="{00000000-0008-0000-0700-00002F000000}"/>
            </a:ext>
          </a:extLst>
        </xdr:cNvPr>
        <xdr:cNvPicPr>
          <a:picLocks noChangeAspect="1"/>
        </xdr:cNvPicPr>
      </xdr:nvPicPr>
      <xdr:blipFill>
        <a:blip xmlns:r="http://schemas.openxmlformats.org/officeDocument/2006/relationships" r:embed="rId1"/>
        <a:stretch>
          <a:fillRect/>
        </a:stretch>
      </xdr:blipFill>
      <xdr:spPr>
        <a:xfrm>
          <a:off x="47625" y="95250"/>
          <a:ext cx="1504950" cy="3238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47625</xdr:colOff>
      <xdr:row>0</xdr:row>
      <xdr:rowOff>95250</xdr:rowOff>
    </xdr:from>
    <xdr:to>
      <xdr:col>0</xdr:col>
      <xdr:colOff>1552575</xdr:colOff>
      <xdr:row>2</xdr:row>
      <xdr:rowOff>38100</xdr:rowOff>
    </xdr:to>
    <xdr:pic>
      <xdr:nvPicPr>
        <xdr:cNvPr id="2" name="Picture 1">
          <a:extLst>
            <a:ext uri="{FF2B5EF4-FFF2-40B4-BE49-F238E27FC236}">
              <a16:creationId xmlns:a16="http://schemas.microsoft.com/office/drawing/2014/main" id="{A3F0164A-F473-4BF4-9A51-744BA77FE8B5}"/>
            </a:ext>
            <a:ext uri="{147F2762-F138-4A5C-976F-8EAC2B608ADB}">
              <a16:predDERef xmlns:a16="http://schemas.microsoft.com/office/drawing/2014/main" pred="{00000000-0008-0000-0700-00002F000000}"/>
            </a:ext>
          </a:extLst>
        </xdr:cNvPr>
        <xdr:cNvPicPr>
          <a:picLocks noChangeAspect="1"/>
        </xdr:cNvPicPr>
      </xdr:nvPicPr>
      <xdr:blipFill>
        <a:blip xmlns:r="http://schemas.openxmlformats.org/officeDocument/2006/relationships" r:embed="rId1"/>
        <a:stretch>
          <a:fillRect/>
        </a:stretch>
      </xdr:blipFill>
      <xdr:spPr>
        <a:xfrm>
          <a:off x="47625" y="95250"/>
          <a:ext cx="1504950" cy="32385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jzamoramoreno/Downloads/calendar-java-12-08-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lendar"/>
      <sheetName val="Content"/>
      <sheetName val="holidays"/>
    </sheetNames>
    <sheetDataSet>
      <sheetData sheetId="0"/>
      <sheetData sheetId="1"/>
      <sheetData sheetId="2">
        <row r="2">
          <cell r="A2">
            <v>44866</v>
          </cell>
        </row>
        <row r="3">
          <cell r="A3">
            <v>44885</v>
          </cell>
        </row>
        <row r="4">
          <cell r="A4">
            <v>44896</v>
          </cell>
        </row>
        <row r="5">
          <cell r="A5">
            <v>44907</v>
          </cell>
        </row>
        <row r="6">
          <cell r="A6">
            <v>44919</v>
          </cell>
        </row>
        <row r="7">
          <cell r="A7">
            <v>44920</v>
          </cell>
        </row>
        <row r="8">
          <cell r="A8">
            <v>44921</v>
          </cell>
        </row>
        <row r="9">
          <cell r="A9">
            <v>44922</v>
          </cell>
        </row>
        <row r="10">
          <cell r="A10">
            <v>44923</v>
          </cell>
        </row>
        <row r="11">
          <cell r="A11">
            <v>44924</v>
          </cell>
        </row>
        <row r="12">
          <cell r="A12">
            <v>44925</v>
          </cell>
        </row>
        <row r="13">
          <cell r="A13">
            <v>44926</v>
          </cell>
        </row>
        <row r="14">
          <cell r="A14">
            <v>44927</v>
          </cell>
        </row>
      </sheetData>
    </sheetDataSet>
  </externalBook>
</externalLink>
</file>

<file path=xl/persons/person.xml><?xml version="1.0" encoding="utf-8"?>
<personList xmlns="http://schemas.microsoft.com/office/spreadsheetml/2018/threadedcomments" xmlns:x="http://schemas.openxmlformats.org/spreadsheetml/2006/main">
  <person displayName="Zamora Moreno, Jose Omar" id="{CDB5C4C9-7308-460A-A735-B3A15556AFBA}" userId="S::jzamoramoreno@deloitte.com::acff1a64-ad03-4b66-b03d-2fb89c1074f7"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266466-EF0D-4500-95E0-9BE177BD6F86}" name="Table234" displayName="Table234" ref="B8:S34" totalsRowShown="0" headerRowDxfId="84" dataDxfId="82" headerRowBorderDxfId="83" tableBorderDxfId="81" totalsRowBorderDxfId="80">
  <autoFilter ref="B8:S34" xr:uid="{72C5C41F-E105-4BF6-8278-393148F555D2}">
    <filterColumn colId="4">
      <customFilters>
        <customFilter operator="notEqual" val=" "/>
      </customFilters>
    </filterColumn>
  </autoFilter>
  <tableColumns count="18">
    <tableColumn id="2" xr3:uid="{113952B5-847E-4F02-8A59-2682BE319DE2}" name="ALL" dataDxfId="79"/>
    <tableColumn id="3" xr3:uid="{F2E207D0-DB87-4F67-9F8D-53655FCAAAA1}" name="React" dataDxfId="78"/>
    <tableColumn id="4" xr3:uid="{5CCB273B-D198-4667-90D6-DE35FEA91448}" name="Node" dataDxfId="77"/>
    <tableColumn id="1" xr3:uid="{605C530B-7FF0-473F-806F-30E82813CFC3}" name="Fast" dataDxfId="76"/>
    <tableColumn id="5" xr3:uid="{424D0690-26F2-41A1-A1B2-1D13990C48C9}" name="JR" dataDxfId="75"/>
    <tableColumn id="6" xr3:uid="{C7087665-76D0-4455-82F9-DC38387F9D8A}" name="INT" dataDxfId="74"/>
    <tableColumn id="7" xr3:uid="{112B0A9A-9E5A-4074-AB3B-8DB01A2B30D0}" name="SR" dataDxfId="73"/>
    <tableColumn id="8" xr3:uid="{AB9181A1-0E24-404E-8E8B-E6254D8570A1}" name="TL" dataDxfId="72"/>
    <tableColumn id="9" xr3:uid="{F4328E4E-14E2-4C2A-9F42-F099D735C949}" name="Steps" dataDxfId="71"/>
    <tableColumn id="11" xr3:uid="{AD5EC5CF-26AF-4EA3-A647-E3DB4F29A225}" name="Topic" dataDxfId="70"/>
    <tableColumn id="12" xr3:uid="{3C12B36E-A687-473F-807E-FED56DEB57A7}" name="Name material" dataDxfId="69"/>
    <tableColumn id="13" xr3:uid="{04158B11-7B69-48CD-B176-3B1D95BE5007}" name="Link" dataDxfId="68"/>
    <tableColumn id="14" xr3:uid="{5E734697-43A7-486E-B257-789885D28E21}" name="Comments" dataDxfId="67"/>
    <tableColumn id="15" xr3:uid="{D03B033F-0759-44B8-BF56-7225D84FAB66}" name="Time" dataDxfId="66"/>
    <tableColumn id="16" xr3:uid="{5D0C3816-59F9-48D0-80DE-BFD06F52A61A}" name="Students" dataDxfId="65"/>
    <tableColumn id="17" xr3:uid="{58A9A2C0-BD4C-4114-AA68-15F2947745E9}" name="Ratings" dataDxfId="64"/>
    <tableColumn id="18" xr3:uid="{CB8B3C89-8C8A-4491-98AC-EB3DCCDF87A8}" name="Aditional Comments" dataDxfId="63"/>
    <tableColumn id="10" xr3:uid="{228497AA-D9F5-4AE4-A3E8-568B4B2893BA}" name="Column1" dataDxfId="62">
      <calculatedColumnFormula array="1">GetURL(Table234[[#This Row],[Link]])</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8722987-D3E9-42AE-8FCD-87FE3B0A93DC}" name="Table23" displayName="Table23" ref="B8:T17" totalsRowShown="0" headerRowDxfId="55" dataDxfId="53" headerRowBorderDxfId="54" tableBorderDxfId="52" totalsRowBorderDxfId="51">
  <autoFilter ref="B8:T17" xr:uid="{72C5C41F-E105-4BF6-8278-393148F555D2}"/>
  <tableColumns count="19">
    <tableColumn id="2" xr3:uid="{B34C8CDB-51D7-4D97-BAE8-E7548FD9A1B4}" name="ALL" dataDxfId="50"/>
    <tableColumn id="3" xr3:uid="{E35E6173-78B2-4EB0-9DEC-827E71D0CD7B}" name="React" dataDxfId="49"/>
    <tableColumn id="4" xr3:uid="{FEC3FBE0-DF93-4D6B-A9E4-D0F996ED4093}" name="Node" dataDxfId="48"/>
    <tableColumn id="1" xr3:uid="{849B68D3-D919-45C2-A372-969843C4EEFF}" name="Fast" dataDxfId="47"/>
    <tableColumn id="5" xr3:uid="{AA95AA2E-265C-4C04-8C2F-75FE5C9209FD}" name="JR" dataDxfId="46"/>
    <tableColumn id="6" xr3:uid="{A3D0FE22-3315-4EE3-9299-16CBA4A2806E}" name="INT" dataDxfId="45"/>
    <tableColumn id="7" xr3:uid="{943A105B-1BA9-4641-8961-22C75FF5E6D0}" name="SR" dataDxfId="44"/>
    <tableColumn id="8" xr3:uid="{50D297D9-D1D4-4429-B5F4-DF03E1DC7FD4}" name="TL" dataDxfId="43"/>
    <tableColumn id="9" xr3:uid="{ACD9764A-0604-464A-8956-D8F5170D5440}" name="Steps" dataDxfId="42"/>
    <tableColumn id="11" xr3:uid="{14F4E818-656A-4516-9C54-12989296D72C}" name="Topic" dataDxfId="41"/>
    <tableColumn id="12" xr3:uid="{78F4836F-EFF3-4924-974B-26DED9BFB6CD}" name="Name material" dataDxfId="40"/>
    <tableColumn id="13" xr3:uid="{57772260-101A-451E-892E-B2DC0BC0EA65}" name="Link" dataDxfId="39"/>
    <tableColumn id="14" xr3:uid="{58418891-81F4-4B06-934B-7CB1D40DABB6}" name="Comments" dataDxfId="38"/>
    <tableColumn id="15" xr3:uid="{50C8DAA0-C0E0-4CD3-B520-4A61FADC06E2}" name="Time" dataDxfId="37"/>
    <tableColumn id="16" xr3:uid="{400F4267-ECB7-42D3-9E7A-2D16909C08F1}" name="Students" dataDxfId="36"/>
    <tableColumn id="17" xr3:uid="{25F869D5-99FD-4BF2-B265-4E1C4F3135A6}" name="Ratings" dataDxfId="35"/>
    <tableColumn id="18" xr3:uid="{B7BC4D30-5ADB-4E40-A29E-A8B09A4CE7AD}" name="Aditional Comments" dataDxfId="34"/>
    <tableColumn id="10" xr3:uid="{338719BA-90FD-473B-A3B1-C7E593D9F9C5}" name="Column2" dataDxfId="33"/>
    <tableColumn id="19" xr3:uid="{64EC47D8-809B-495C-8DC6-43743D785367}" name="Column3" dataDxfId="32"/>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2C5C41F-E105-4BF6-8278-393148F555D2}" name="Table2" displayName="Table2" ref="B8:S32" totalsRowShown="0" headerRowDxfId="25" dataDxfId="23" headerRowBorderDxfId="24" tableBorderDxfId="22" totalsRowBorderDxfId="21">
  <autoFilter ref="B8:S32" xr:uid="{72C5C41F-E105-4BF6-8278-393148F555D2}">
    <filterColumn colId="1">
      <customFilters>
        <customFilter operator="notEqual" val=" "/>
      </customFilters>
    </filterColumn>
    <filterColumn colId="2">
      <filters>
        <filter val="x"/>
      </filters>
    </filterColumn>
  </autoFilter>
  <tableColumns count="18">
    <tableColumn id="2" xr3:uid="{F97A3B87-4F86-4715-97CB-546038C00850}" name="ALL" dataDxfId="20"/>
    <tableColumn id="3" xr3:uid="{8F4F5937-5AA1-4E25-A282-B2890C56AF4A}" name="React" dataDxfId="19"/>
    <tableColumn id="4" xr3:uid="{789CC2FD-268B-4445-8196-2F0631DFB6ED}" name="Node" dataDxfId="18"/>
    <tableColumn id="1" xr3:uid="{2377E8D8-8FBA-4B10-A49D-9381D5D9BDC8}" name="Fast" dataDxfId="17"/>
    <tableColumn id="5" xr3:uid="{11891578-C7C7-4E60-A821-EA7C1996A527}" name="JR" dataDxfId="16"/>
    <tableColumn id="6" xr3:uid="{87AD10B0-81A1-4D13-BE17-DC87E3D3B8B6}" name="INT" dataDxfId="15"/>
    <tableColumn id="7" xr3:uid="{DFC612DB-324F-4916-8FB9-834EAB48CA22}" name="SR" dataDxfId="14"/>
    <tableColumn id="8" xr3:uid="{2DBDD5E8-9AB6-4DAA-BE17-66B9D7C0AD29}" name="TL" dataDxfId="13"/>
    <tableColumn id="9" xr3:uid="{C35B8A0E-10FE-411D-BDA9-BD4A4D7CFEBD}" name="Steps" dataDxfId="12"/>
    <tableColumn id="11" xr3:uid="{5AC686BC-2329-4A0E-90BB-081DB4D0F676}" name="Topic" dataDxfId="11"/>
    <tableColumn id="12" xr3:uid="{E1636BFD-CFF4-4ACE-9734-794B1D475AC5}" name="Name material" dataDxfId="10"/>
    <tableColumn id="13" xr3:uid="{055350DD-8CE7-440D-84E6-ACB9B4526CE9}" name="Link" dataDxfId="9"/>
    <tableColumn id="14" xr3:uid="{F6069426-3858-4243-A2C6-F5E06A16625B}" name="Comments" dataDxfId="8"/>
    <tableColumn id="15" xr3:uid="{08E82883-ECD6-4598-8BFB-0A1DD544AAB9}" name="Time" dataDxfId="7"/>
    <tableColumn id="16" xr3:uid="{5A1D9C99-A3AB-475A-A044-4141A7D2BD9D}" name="Students" dataDxfId="6"/>
    <tableColumn id="17" xr3:uid="{80E87EE0-9DD0-4DA8-849C-11FED00755B2}" name="Ratings" dataDxfId="5"/>
    <tableColumn id="18" xr3:uid="{6461A718-0B4B-468F-8410-4E83C33F52C1}" name="Aditional Comments" dataDxfId="4"/>
    <tableColumn id="10" xr3:uid="{8AE4B2B4-00DF-46B5-9C98-9C761F29FD76}" name="Column2" dataDxfId="3"/>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H13" dT="2023-04-04T22:19:29.88" personId="{CDB5C4C9-7308-460A-A735-B3A15556AFBA}" id="{43599207-0C23-4C8C-BE3B-EAF42B26E964}">
    <text>Se cambia el valor inicial 
1 
02/1/2023</text>
  </threadedComment>
  <threadedComment ref="AH13" dT="2023-04-04T22:20:37.26" personId="{CDB5C4C9-7308-460A-A735-B3A15556AFBA}" id="{CC75908D-A01F-4D42-B75F-A3F2C2FE3DCE}" parentId="{43599207-0C23-4C8C-BE3B-EAF42B26E964}">
    <text xml:space="preserve">Se agregan los dias que paso en IOS
Para incrementar la fecha de termino
04/20/2023 tentativo
</text>
  </threadedComment>
</ThreadedComments>
</file>

<file path=xl/threadedComments/threadedComment2.xml><?xml version="1.0" encoding="utf-8"?>
<ThreadedComments xmlns="http://schemas.microsoft.com/office/spreadsheetml/2018/threadedcomments" xmlns:x="http://schemas.openxmlformats.org/spreadsheetml/2006/main">
  <threadedComment ref="AW3" dT="2022-08-12T18:57:24.69" personId="{CDB5C4C9-7308-460A-A735-B3A15556AFBA}" id="{858C15B8-56F0-48EB-AB54-A8C8FF8B8788}">
    <text>(Talent, integration sericios)</text>
  </threadedComment>
</ThreadedComments>
</file>

<file path=xl/threadedComments/threadedComment3.xml><?xml version="1.0" encoding="utf-8"?>
<ThreadedComments xmlns="http://schemas.microsoft.com/office/spreadsheetml/2018/threadedcomments" xmlns:x="http://schemas.openxmlformats.org/spreadsheetml/2006/main">
  <threadedComment ref="BE6" dT="2022-08-12T18:57:24.69" personId="{CDB5C4C9-7308-460A-A735-B3A15556AFBA}" id="{34B24F1F-F1B7-41C8-A60E-32D5D2B17BC0}">
    <text>(Talent, integration sericios)</text>
  </threadedComment>
</ThreadedComments>
</file>

<file path=xl/threadedComments/threadedComment4.xml><?xml version="1.0" encoding="utf-8"?>
<ThreadedComments xmlns="http://schemas.microsoft.com/office/spreadsheetml/2018/threadedcomments" xmlns:x="http://schemas.openxmlformats.org/spreadsheetml/2006/main">
  <threadedComment ref="B12" dT="2023-08-08T17:31:16.42" personId="{CDB5C4C9-7308-460A-A735-B3A15556AFBA}" id="{5C584DD2-F171-4AA9-B587-B865ED580D2F}">
    <text>React</text>
  </threadedComment>
  <threadedComment ref="B13" dT="2023-08-08T17:31:22.92" personId="{CDB5C4C9-7308-460A-A735-B3A15556AFBA}" id="{C98762BD-68DF-4318-8225-CF0B074D0F6F}">
    <text>React</text>
  </threadedComment>
  <threadedComment ref="B14" dT="2023-08-08T17:31:27.12" personId="{CDB5C4C9-7308-460A-A735-B3A15556AFBA}" id="{B8503321-29A6-4A09-80F5-42B322D21D0E}">
    <text>React</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hyperlink" Target="https://www.simplilearn.com/tutorials/reactjs-tutorial/reactjs-interview-questions" TargetMode="External"/><Relationship Id="rId13" Type="http://schemas.openxmlformats.org/officeDocument/2006/relationships/hyperlink" Target="https://deloittedevelopment.udemy.com/course/react-the-complete-guide-incl-redux/learn/lecture/25595350" TargetMode="External"/><Relationship Id="rId3" Type="http://schemas.openxmlformats.org/officeDocument/2006/relationships/hyperlink" Target="https://deloittedevelopment.udemy.com/labs/add-search-filter-functionality-to-a-react-app/overview/" TargetMode="External"/><Relationship Id="rId7" Type="http://schemas.openxmlformats.org/officeDocument/2006/relationships/hyperlink" Target="../../../../:w:/r/sites/Java312-FullStack/Shared%20Documents/Full%20Stack/Final%20project/Final-Project-React.docx?d=w60470901429b4736b9622ed655f91c32&amp;csf=1&amp;web=1&amp;e=kQ35ve" TargetMode="External"/><Relationship Id="rId12" Type="http://schemas.openxmlformats.org/officeDocument/2006/relationships/hyperlink" Target="https://deloittedevelopment.udemy.com/course/react-testing-library/" TargetMode="External"/><Relationship Id="rId2" Type="http://schemas.openxmlformats.org/officeDocument/2006/relationships/hyperlink" Target="https://deloittedevelopment.udemy.com/labs/create-a-cicd-pipeline-for-a-react-web-application-using-devsecops-practices/overview/" TargetMode="External"/><Relationship Id="rId16" Type="http://schemas.openxmlformats.org/officeDocument/2006/relationships/table" Target="../tables/table1.xml"/><Relationship Id="rId1" Type="http://schemas.openxmlformats.org/officeDocument/2006/relationships/hyperlink" Target="https://deloittedevelopment.udemy.com/labs/build-a-social-networking-page-with-react-and-redux/overview/" TargetMode="External"/><Relationship Id="rId6" Type="http://schemas.openxmlformats.org/officeDocument/2006/relationships/hyperlink" Target="https://deloittedevelopment.udemy.com/labs/create-a-calendar-to-display-event-data-with-react-typescript-and-css-grid/overview/" TargetMode="External"/><Relationship Id="rId11" Type="http://schemas.openxmlformats.org/officeDocument/2006/relationships/hyperlink" Target="https://deloittedevelopment.udemy.com/course/the-complete-guide-to-advanced-react-patterns/" TargetMode="External"/><Relationship Id="rId5" Type="http://schemas.openxmlformats.org/officeDocument/2006/relationships/hyperlink" Target="https://deloittedevelopment.udemy.com/labs/add-an-authentication-flow-and-route-protection-to-a-react-app/overview/" TargetMode="External"/><Relationship Id="rId15" Type="http://schemas.openxmlformats.org/officeDocument/2006/relationships/drawing" Target="../drawings/drawing4.xml"/><Relationship Id="rId10" Type="http://schemas.openxmlformats.org/officeDocument/2006/relationships/hyperlink" Target="https://www.devteam.space/hiring-interview-tips/reactjs-interview-questions-and-answers/" TargetMode="External"/><Relationship Id="rId4" Type="http://schemas.openxmlformats.org/officeDocument/2006/relationships/hyperlink" Target="https://deloittedevelopment.udemy.com/labs/build-a-complex-application-form-with-react-hooks-and-an-api/overview/" TargetMode="External"/><Relationship Id="rId9" Type="http://schemas.openxmlformats.org/officeDocument/2006/relationships/hyperlink" Target="https://www.interviewbit.com/react-interview-questions/" TargetMode="External"/><Relationship Id="rId14" Type="http://schemas.openxmlformats.org/officeDocument/2006/relationships/hyperlink" Target="https://deloittedevelopment.udemy.com/course/design-patterns-javascript/?src=sac&amp;kw=javascript+patt"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s://deloittedevelopment.udemy.com/labs/create-a-waitlist-app-with-node-express-and-mongo/overview/" TargetMode="External"/><Relationship Id="rId7" Type="http://schemas.openxmlformats.org/officeDocument/2006/relationships/table" Target="../tables/table2.xml"/><Relationship Id="rId2" Type="http://schemas.openxmlformats.org/officeDocument/2006/relationships/hyperlink" Target="../../../../:w:/r/sites/Java312-FullStack/Shared%20Documents/Full%20Stack/Final%20project/final-project-Node.docx?d=w8f8669c42bc54a8cab64fd1d5476d204&amp;csf=1&amp;web=1&amp;e=85UIQm" TargetMode="External"/><Relationship Id="rId1" Type="http://schemas.openxmlformats.org/officeDocument/2006/relationships/hyperlink" Target="https://deloittedevelopment.udemy.com/course/design-patterns-javascript/?src=sac&amp;kw=javascript+patt" TargetMode="External"/><Relationship Id="rId6" Type="http://schemas.openxmlformats.org/officeDocument/2006/relationships/drawing" Target="../drawings/drawing5.xml"/><Relationship Id="rId5" Type="http://schemas.openxmlformats.org/officeDocument/2006/relationships/hyperlink" Target="https://deloittedevelopment.udemy.com/course/nodejs-the-complete-guide/learn/lecture/12256808" TargetMode="External"/><Relationship Id="rId4" Type="http://schemas.openxmlformats.org/officeDocument/2006/relationships/hyperlink" Target="https://deloittedevelopment.udemy.com/course/nodejs-unit-testing-and-integration-testing-with-express-and-jest/"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deloittedevelopment.udemy.com/labs/add-search-filter-functionality-to-a-react-app/overview/" TargetMode="External"/><Relationship Id="rId13" Type="http://schemas.openxmlformats.org/officeDocument/2006/relationships/hyperlink" Target="../../../../:w:/r/sites/Java312-FullStack/Shared%20Documents/Full%20Stack/Final%20project/final-project-Node.docx?d=w8f8669c42bc54a8cab64fd1d5476d204&amp;csf=1&amp;web=1&amp;e=85UIQm" TargetMode="External"/><Relationship Id="rId18" Type="http://schemas.openxmlformats.org/officeDocument/2006/relationships/hyperlink" Target="https://www.devteam.space/hiring-interview-tips/reactjs-interview-questions-and-answers/" TargetMode="External"/><Relationship Id="rId3" Type="http://schemas.openxmlformats.org/officeDocument/2006/relationships/hyperlink" Target="https://deloittedevelopment.udemy.com/course/nodejs-the-complete-guide/learn/lecture/12256808" TargetMode="External"/><Relationship Id="rId21" Type="http://schemas.openxmlformats.org/officeDocument/2006/relationships/table" Target="../tables/table3.xml"/><Relationship Id="rId7" Type="http://schemas.openxmlformats.org/officeDocument/2006/relationships/hyperlink" Target="https://deloittedevelopment.udemy.com/labs/create-a-cicd-pipeline-for-a-react-web-application-using-devsecops-practices/overview/" TargetMode="External"/><Relationship Id="rId12" Type="http://schemas.openxmlformats.org/officeDocument/2006/relationships/hyperlink" Target="https://deloittedevelopment.udemy.com/labs/create-a-waitlist-app-with-node-express-and-mongo/overview/" TargetMode="External"/><Relationship Id="rId17" Type="http://schemas.openxmlformats.org/officeDocument/2006/relationships/hyperlink" Target="https://www.interviewbit.com/react-interview-questions/" TargetMode="External"/><Relationship Id="rId2" Type="http://schemas.openxmlformats.org/officeDocument/2006/relationships/hyperlink" Target="https://deloittedevelopment.udemy.com/course/react-testing-library/" TargetMode="External"/><Relationship Id="rId16" Type="http://schemas.openxmlformats.org/officeDocument/2006/relationships/hyperlink" Target="https://www.simplilearn.com/tutorials/reactjs-tutorial/reactjs-interview-questions" TargetMode="External"/><Relationship Id="rId20" Type="http://schemas.openxmlformats.org/officeDocument/2006/relationships/drawing" Target="../drawings/drawing6.xml"/><Relationship Id="rId1" Type="http://schemas.openxmlformats.org/officeDocument/2006/relationships/hyperlink" Target="https://deloittedevelopment.udemy.com/course/react-the-complete-guide-incl-redux/learn/lecture/25595350" TargetMode="External"/><Relationship Id="rId6" Type="http://schemas.openxmlformats.org/officeDocument/2006/relationships/hyperlink" Target="https://deloittedevelopment.udemy.com/labs/build-a-social-networking-page-with-react-and-redux/overview/" TargetMode="External"/><Relationship Id="rId11" Type="http://schemas.openxmlformats.org/officeDocument/2006/relationships/hyperlink" Target="https://deloittedevelopment.udemy.com/labs/create-a-calendar-to-display-event-data-with-react-typescript-and-css-grid/overview/" TargetMode="External"/><Relationship Id="rId5" Type="http://schemas.openxmlformats.org/officeDocument/2006/relationships/hyperlink" Target="https://deloittedevelopment.udemy.com/course/design-patterns-javascript/?src=sac&amp;kw=javascript+patt" TargetMode="External"/><Relationship Id="rId15" Type="http://schemas.openxmlformats.org/officeDocument/2006/relationships/hyperlink" Target="https://deloittedevelopment.udemy.com/course/the-complete-guide-to-advanced-react-patterns/" TargetMode="External"/><Relationship Id="rId10" Type="http://schemas.openxmlformats.org/officeDocument/2006/relationships/hyperlink" Target="https://deloittedevelopment.udemy.com/labs/add-an-authentication-flow-and-route-protection-to-a-react-app/overview/" TargetMode="External"/><Relationship Id="rId19" Type="http://schemas.openxmlformats.org/officeDocument/2006/relationships/printerSettings" Target="../printerSettings/printerSettings4.bin"/><Relationship Id="rId4" Type="http://schemas.openxmlformats.org/officeDocument/2006/relationships/hyperlink" Target="https://deloittedevelopment.udemy.com/course/nodejs-unit-testing-and-integration-testing-with-express-and-jest/" TargetMode="External"/><Relationship Id="rId9" Type="http://schemas.openxmlformats.org/officeDocument/2006/relationships/hyperlink" Target="https://deloittedevelopment.udemy.com/labs/build-a-complex-application-form-with-react-hooks-and-an-api/overview/" TargetMode="External"/><Relationship Id="rId14" Type="http://schemas.openxmlformats.org/officeDocument/2006/relationships/hyperlink" Target="../../../../:w:/r/sites/Java312-FullStack/Shared%20Documents/Full%20Stack/Final%20project/Final-Project-React.docx?d=w60470901429b4736b9622ed655f91c32&amp;csf=1&amp;web=1&amp;e=kQ35ve" TargetMode="Externa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7.xml"/><Relationship Id="rId4" Type="http://schemas.microsoft.com/office/2017/10/relationships/threadedComment" Target="../threadedComments/threadedComment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8846E8-D2B4-4CE0-9AA1-C0C429B9858C}">
  <sheetPr codeName="Sheet9"/>
  <dimension ref="A1:E28"/>
  <sheetViews>
    <sheetView showGridLines="0" workbookViewId="0">
      <selection sqref="A1:XFD3"/>
    </sheetView>
  </sheetViews>
  <sheetFormatPr defaultRowHeight="14.5"/>
  <cols>
    <col min="1" max="1" width="4.7265625" customWidth="1"/>
  </cols>
  <sheetData>
    <row r="1" spans="1:5" s="170" customFormat="1"/>
    <row r="2" spans="1:5" s="170" customFormat="1"/>
    <row r="3" spans="1:5" s="170" customFormat="1"/>
    <row r="4" spans="1:5">
      <c r="A4" s="78" t="s">
        <v>0</v>
      </c>
      <c r="B4" s="198" t="s">
        <v>1</v>
      </c>
      <c r="C4" s="199"/>
      <c r="D4" s="199"/>
      <c r="E4" s="200"/>
    </row>
    <row r="5" spans="1:5">
      <c r="A5" s="79" t="s">
        <v>0</v>
      </c>
      <c r="B5" s="201" t="s">
        <v>2</v>
      </c>
      <c r="C5" s="196"/>
      <c r="D5" s="196"/>
      <c r="E5" s="197"/>
    </row>
    <row r="6" spans="1:5">
      <c r="A6" s="80" t="s">
        <v>0</v>
      </c>
      <c r="B6" s="201" t="s">
        <v>3</v>
      </c>
      <c r="C6" s="196"/>
      <c r="D6" s="196"/>
      <c r="E6" s="197"/>
    </row>
    <row r="7" spans="1:5">
      <c r="A7" s="81" t="s">
        <v>0</v>
      </c>
      <c r="B7" s="201" t="s">
        <v>4</v>
      </c>
      <c r="C7" s="196"/>
      <c r="D7" s="196"/>
      <c r="E7" s="197"/>
    </row>
    <row r="8" spans="1:5">
      <c r="A8" s="82" t="s">
        <v>0</v>
      </c>
      <c r="B8" s="201" t="s">
        <v>5</v>
      </c>
      <c r="C8" s="196"/>
      <c r="D8" s="196"/>
      <c r="E8" s="197"/>
    </row>
    <row r="9" spans="1:5">
      <c r="A9" s="76"/>
      <c r="B9" s="76"/>
      <c r="C9" s="76"/>
      <c r="D9" s="76"/>
      <c r="E9" s="76"/>
    </row>
    <row r="10" spans="1:5">
      <c r="A10" s="57" t="s">
        <v>6</v>
      </c>
      <c r="B10" s="196" t="s">
        <v>7</v>
      </c>
      <c r="C10" s="196"/>
      <c r="D10" s="196"/>
      <c r="E10" s="197"/>
    </row>
    <row r="11" spans="1:5">
      <c r="A11" s="68" t="s">
        <v>8</v>
      </c>
      <c r="B11" s="196" t="s">
        <v>9</v>
      </c>
      <c r="C11" s="196"/>
      <c r="D11" s="196"/>
      <c r="E11" s="197"/>
    </row>
    <row r="12" spans="1:5">
      <c r="A12" s="76"/>
      <c r="B12" s="76"/>
      <c r="C12" s="76"/>
      <c r="D12" s="76"/>
      <c r="E12" s="76"/>
    </row>
    <row r="13" spans="1:5">
      <c r="A13" s="76"/>
      <c r="B13" s="76"/>
      <c r="C13" s="76"/>
      <c r="D13" s="76"/>
      <c r="E13" s="76"/>
    </row>
    <row r="14" spans="1:5">
      <c r="A14" s="76"/>
      <c r="B14" s="76"/>
      <c r="C14" s="76"/>
      <c r="D14" s="76"/>
      <c r="E14" s="76"/>
    </row>
    <row r="15" spans="1:5">
      <c r="A15" s="76"/>
      <c r="B15" s="76" t="s">
        <v>10</v>
      </c>
      <c r="C15" s="76"/>
      <c r="D15" s="76"/>
      <c r="E15" s="76"/>
    </row>
    <row r="16" spans="1:5">
      <c r="A16" s="76"/>
      <c r="B16" s="76"/>
      <c r="C16" s="76" t="s">
        <v>11</v>
      </c>
      <c r="D16" s="76"/>
      <c r="E16" s="76"/>
    </row>
    <row r="17" spans="1:5">
      <c r="A17" s="76"/>
      <c r="B17" s="76"/>
      <c r="C17" s="76"/>
      <c r="D17" s="76" t="s">
        <v>12</v>
      </c>
      <c r="E17" s="76"/>
    </row>
    <row r="18" spans="1:5">
      <c r="A18" s="76"/>
      <c r="B18" s="76"/>
      <c r="C18" s="76"/>
      <c r="D18" s="76" t="s">
        <v>13</v>
      </c>
      <c r="E18" s="76"/>
    </row>
    <row r="19" spans="1:5">
      <c r="A19" s="76"/>
      <c r="B19" s="76"/>
      <c r="C19" s="76"/>
      <c r="D19" s="76" t="s">
        <v>14</v>
      </c>
      <c r="E19" s="76"/>
    </row>
    <row r="20" spans="1:5">
      <c r="A20" s="76"/>
      <c r="B20" s="76"/>
      <c r="C20" s="76" t="s">
        <v>15</v>
      </c>
      <c r="D20" s="76"/>
      <c r="E20" s="76"/>
    </row>
    <row r="21" spans="1:5">
      <c r="A21" s="76"/>
      <c r="B21" s="76"/>
      <c r="C21" s="76"/>
      <c r="D21" s="76" t="s">
        <v>16</v>
      </c>
      <c r="E21" s="76"/>
    </row>
    <row r="22" spans="1:5">
      <c r="A22" s="76"/>
      <c r="B22" s="76"/>
      <c r="C22" s="76"/>
      <c r="D22" s="76" t="s">
        <v>17</v>
      </c>
      <c r="E22" s="76"/>
    </row>
    <row r="23" spans="1:5">
      <c r="A23" s="76"/>
      <c r="B23" s="76"/>
      <c r="C23" s="76"/>
      <c r="D23" s="76" t="s">
        <v>18</v>
      </c>
      <c r="E23" s="76"/>
    </row>
    <row r="24" spans="1:5">
      <c r="A24" s="76"/>
      <c r="B24" s="76"/>
      <c r="C24" s="76"/>
      <c r="D24" s="76" t="s">
        <v>19</v>
      </c>
      <c r="E24" s="76"/>
    </row>
    <row r="25" spans="1:5">
      <c r="A25" s="76"/>
      <c r="B25" s="76"/>
      <c r="C25" s="76"/>
      <c r="D25" s="76" t="s">
        <v>20</v>
      </c>
      <c r="E25" s="76"/>
    </row>
    <row r="26" spans="1:5">
      <c r="A26" s="76"/>
      <c r="B26" s="76"/>
      <c r="C26" s="76" t="s">
        <v>21</v>
      </c>
      <c r="D26" s="76"/>
      <c r="E26" s="76"/>
    </row>
    <row r="27" spans="1:5">
      <c r="A27" s="76"/>
      <c r="B27" s="76"/>
      <c r="C27" s="76"/>
      <c r="D27" s="76" t="s">
        <v>22</v>
      </c>
      <c r="E27" s="76"/>
    </row>
    <row r="28" spans="1:5">
      <c r="A28" s="76"/>
      <c r="B28" s="76"/>
      <c r="C28" s="76"/>
      <c r="D28" s="76" t="s">
        <v>23</v>
      </c>
      <c r="E28" s="76"/>
    </row>
  </sheetData>
  <mergeCells count="7">
    <mergeCell ref="B11:E11"/>
    <mergeCell ref="B4:E4"/>
    <mergeCell ref="B5:E5"/>
    <mergeCell ref="B6:E6"/>
    <mergeCell ref="B7:E7"/>
    <mergeCell ref="B8:E8"/>
    <mergeCell ref="B10:E1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07F3ED-5E5C-45A6-82FF-4C5D82F88670}">
  <sheetPr codeName="Sheet1"/>
  <dimension ref="A1:AS42"/>
  <sheetViews>
    <sheetView showGridLines="0" workbookViewId="0"/>
  </sheetViews>
  <sheetFormatPr defaultRowHeight="14.5"/>
  <cols>
    <col min="1" max="1" width="3.81640625" customWidth="1"/>
    <col min="2" max="2" width="50.1796875" bestFit="1" customWidth="1"/>
    <col min="3" max="3" width="12.7265625" customWidth="1"/>
    <col min="4" max="4" width="3.54296875" bestFit="1" customWidth="1"/>
    <col min="5" max="5" width="15.7265625" customWidth="1"/>
    <col min="6" max="6" width="15.81640625" bestFit="1" customWidth="1"/>
    <col min="7" max="7" width="15.81640625" customWidth="1"/>
    <col min="8" max="8" width="10.453125" customWidth="1"/>
    <col min="9" max="9" width="10.7265625" bestFit="1" customWidth="1"/>
    <col min="10" max="10" width="8.7265625" bestFit="1" customWidth="1"/>
    <col min="11" max="11" width="10.453125" bestFit="1" customWidth="1"/>
    <col min="12" max="12" width="8.7265625" bestFit="1" customWidth="1"/>
    <col min="13" max="13" width="12.1796875" customWidth="1"/>
    <col min="15" max="15" width="11.453125" bestFit="1" customWidth="1"/>
    <col min="17" max="17" width="12.26953125" bestFit="1" customWidth="1"/>
    <col min="19" max="19" width="11.453125" bestFit="1" customWidth="1"/>
    <col min="21" max="21" width="11.54296875" customWidth="1"/>
    <col min="23" max="23" width="11.453125" bestFit="1" customWidth="1"/>
    <col min="25" max="25" width="11.26953125" customWidth="1"/>
    <col min="27" max="27" width="12.54296875" customWidth="1"/>
    <col min="29" max="29" width="10.81640625" customWidth="1"/>
    <col min="30" max="30" width="4.81640625" customWidth="1"/>
    <col min="31" max="31" width="10" customWidth="1"/>
    <col min="33" max="33" width="11.1796875" customWidth="1"/>
    <col min="35" max="35" width="12.7265625" customWidth="1"/>
    <col min="37" max="37" width="12.26953125" customWidth="1"/>
    <col min="39" max="39" width="9.453125" bestFit="1" customWidth="1"/>
    <col min="41" max="41" width="9.453125" bestFit="1" customWidth="1"/>
    <col min="43" max="43" width="9.453125" bestFit="1" customWidth="1"/>
    <col min="45" max="45" width="9.453125" bestFit="1" customWidth="1"/>
  </cols>
  <sheetData>
    <row r="1" spans="1:45" s="170" customFormat="1"/>
    <row r="2" spans="1:45" s="170" customFormat="1"/>
    <row r="3" spans="1:45" s="170" customFormat="1"/>
    <row r="4" spans="1:45">
      <c r="E4" s="8" t="s">
        <v>24</v>
      </c>
      <c r="F4">
        <f>SUM(G4:M4)</f>
        <v>30.62</v>
      </c>
      <c r="G4">
        <f>SUM(N4:AG4)</f>
        <v>23.62</v>
      </c>
      <c r="I4">
        <v>2</v>
      </c>
      <c r="J4" s="202">
        <v>3</v>
      </c>
      <c r="K4" s="202"/>
      <c r="L4" s="202">
        <v>2</v>
      </c>
      <c r="M4" s="202"/>
      <c r="N4" s="202">
        <v>2</v>
      </c>
      <c r="O4" s="202"/>
      <c r="P4" s="202">
        <v>11</v>
      </c>
      <c r="Q4" s="202"/>
      <c r="R4" s="202">
        <v>2</v>
      </c>
      <c r="S4" s="202"/>
      <c r="T4" s="202">
        <v>4</v>
      </c>
      <c r="U4" s="202"/>
      <c r="V4" s="202">
        <v>2.25</v>
      </c>
      <c r="W4" s="202"/>
      <c r="X4" s="202">
        <v>0.5</v>
      </c>
      <c r="Y4" s="202"/>
      <c r="Z4" s="202">
        <v>0.5</v>
      </c>
      <c r="AA4" s="202"/>
      <c r="AB4" s="76">
        <v>0.5</v>
      </c>
      <c r="AC4" s="76"/>
      <c r="AD4" s="76">
        <v>0.37</v>
      </c>
      <c r="AE4" s="76"/>
      <c r="AF4" s="76">
        <v>0.5</v>
      </c>
      <c r="AG4" s="76"/>
      <c r="AH4" s="76">
        <v>0.5</v>
      </c>
      <c r="AI4" s="76"/>
      <c r="AJ4" s="76">
        <v>7.5</v>
      </c>
      <c r="AK4" s="76"/>
      <c r="AL4" s="202"/>
      <c r="AM4" s="202"/>
      <c r="AN4" s="202"/>
      <c r="AO4" s="202"/>
      <c r="AP4" s="202"/>
      <c r="AQ4" s="202"/>
      <c r="AR4" s="202"/>
      <c r="AS4" s="202"/>
    </row>
    <row r="5" spans="1:45" s="28" customFormat="1">
      <c r="B5"/>
      <c r="C5"/>
      <c r="E5" s="29" t="s">
        <v>25</v>
      </c>
      <c r="H5" s="9"/>
      <c r="I5" s="9">
        <v>16</v>
      </c>
      <c r="K5" s="28">
        <v>24</v>
      </c>
      <c r="L5" s="210">
        <v>12</v>
      </c>
      <c r="M5" s="210"/>
      <c r="O5" s="28">
        <v>16</v>
      </c>
      <c r="P5" s="210">
        <v>88</v>
      </c>
      <c r="Q5" s="210"/>
      <c r="R5" s="210">
        <v>16</v>
      </c>
      <c r="S5" s="210"/>
      <c r="T5" s="210">
        <v>32</v>
      </c>
      <c r="U5" s="210"/>
      <c r="V5" s="210">
        <v>18</v>
      </c>
      <c r="W5" s="210"/>
      <c r="X5" s="210">
        <v>4</v>
      </c>
      <c r="Y5" s="210"/>
      <c r="Z5" s="210">
        <v>4</v>
      </c>
      <c r="AA5" s="210"/>
      <c r="AB5" s="77">
        <v>4</v>
      </c>
      <c r="AC5" s="77"/>
      <c r="AD5" s="77">
        <v>3</v>
      </c>
      <c r="AE5" s="77"/>
      <c r="AF5" s="77">
        <v>4</v>
      </c>
      <c r="AG5" s="77"/>
      <c r="AH5" s="77">
        <v>4</v>
      </c>
      <c r="AI5" s="77"/>
      <c r="AJ5" s="83">
        <v>60</v>
      </c>
      <c r="AK5" s="83"/>
      <c r="AL5" s="211"/>
      <c r="AM5" s="211"/>
      <c r="AN5" s="210"/>
      <c r="AO5" s="210"/>
      <c r="AP5" s="210"/>
      <c r="AQ5" s="210"/>
      <c r="AR5" s="210"/>
      <c r="AS5" s="210"/>
    </row>
    <row r="6" spans="1:45" ht="15.5">
      <c r="E6" s="8" t="s">
        <v>26</v>
      </c>
      <c r="H6" s="203" t="s">
        <v>27</v>
      </c>
      <c r="I6" s="203"/>
      <c r="J6" s="204" t="s">
        <v>28</v>
      </c>
      <c r="K6" s="205"/>
      <c r="L6" s="204" t="s">
        <v>29</v>
      </c>
      <c r="M6" s="205"/>
      <c r="N6" s="206" t="str">
        <f>Content!Z9</f>
        <v>React</v>
      </c>
      <c r="O6" s="207"/>
      <c r="P6" s="208" t="str">
        <f>Content!AA9</f>
        <v>React / Testing / Jest</v>
      </c>
      <c r="Q6" s="209"/>
      <c r="R6" s="212" t="str">
        <f>Content!AB9</f>
        <v>Exercise 1</v>
      </c>
      <c r="S6" s="213"/>
      <c r="T6" s="214" t="str">
        <f>Content!AC9</f>
        <v>Exercise 2</v>
      </c>
      <c r="U6" s="215"/>
      <c r="V6" s="212" t="str">
        <f>Content!AD9</f>
        <v>React Labs 1</v>
      </c>
      <c r="W6" s="213"/>
      <c r="X6" s="216" t="str">
        <f>Content!AE9</f>
        <v>React Labs 2</v>
      </c>
      <c r="Y6" s="213"/>
      <c r="Z6" s="216" t="str">
        <f>Content!AF9</f>
        <v>React Labs 3</v>
      </c>
      <c r="AA6" s="213"/>
      <c r="AB6" s="217" t="str">
        <f>Content!AG9</f>
        <v>React Labs 4</v>
      </c>
      <c r="AC6" s="209"/>
      <c r="AD6" s="217" t="str">
        <f>Content!AH9</f>
        <v>React Labs 5</v>
      </c>
      <c r="AE6" s="209"/>
      <c r="AF6" s="217" t="str">
        <f>Content!AI9</f>
        <v>React Labs 6</v>
      </c>
      <c r="AG6" s="218"/>
      <c r="AH6" s="224" t="str">
        <f>Content!AJ9</f>
        <v>Projecto final (ejercicio React )</v>
      </c>
      <c r="AI6" s="225"/>
      <c r="AJ6" s="226">
        <f>Content!AK9</f>
        <v>0</v>
      </c>
      <c r="AK6" s="227"/>
      <c r="AL6" s="228"/>
      <c r="AM6" s="228"/>
      <c r="AN6" s="208"/>
      <c r="AO6" s="209"/>
      <c r="AP6" s="208"/>
      <c r="AQ6" s="209"/>
      <c r="AR6" s="208"/>
      <c r="AS6" s="209"/>
    </row>
    <row r="7" spans="1:45" ht="46">
      <c r="B7" s="169" t="s">
        <v>30</v>
      </c>
      <c r="E7" s="10" t="s">
        <v>31</v>
      </c>
      <c r="O7" s="9" t="s">
        <v>32</v>
      </c>
      <c r="P7" s="9"/>
      <c r="Q7" s="9" t="s">
        <v>33</v>
      </c>
      <c r="R7" s="9"/>
      <c r="S7" s="9" t="s">
        <v>34</v>
      </c>
      <c r="T7" s="9"/>
      <c r="U7" s="9" t="s">
        <v>35</v>
      </c>
      <c r="V7" s="9"/>
      <c r="W7" s="9" t="s">
        <v>34</v>
      </c>
      <c r="X7" s="9"/>
      <c r="Y7" s="9" t="s">
        <v>36</v>
      </c>
      <c r="Z7" s="9"/>
      <c r="AA7" s="9" t="s">
        <v>37</v>
      </c>
      <c r="AB7" s="9"/>
      <c r="AC7" s="9" t="s">
        <v>38</v>
      </c>
      <c r="AD7" s="9"/>
      <c r="AE7" s="9" t="s">
        <v>36</v>
      </c>
      <c r="AF7" s="9"/>
      <c r="AG7" s="9"/>
      <c r="AH7" s="30"/>
      <c r="AI7" s="30"/>
      <c r="AJ7" s="30"/>
      <c r="AK7" s="30"/>
      <c r="AL7" s="30"/>
      <c r="AM7" s="30" t="s">
        <v>37</v>
      </c>
      <c r="AN7" s="9"/>
      <c r="AO7" s="9" t="s">
        <v>39</v>
      </c>
      <c r="AP7" s="9"/>
      <c r="AQ7" s="9" t="s">
        <v>39</v>
      </c>
      <c r="AR7" s="9"/>
      <c r="AS7" s="9" t="s">
        <v>36</v>
      </c>
    </row>
    <row r="8" spans="1:45" s="15" customFormat="1" ht="15.65" customHeight="1">
      <c r="D8" s="26" t="s">
        <v>40</v>
      </c>
      <c r="E8" s="26" t="e">
        <f>SUM(IF(N8="x",$O$5,0)+IF(P8="x",$P$5,0)+IF(R8="x",$R$5,0)+IF(X8="x",$T$5,0)+IF(Z8="x",$V$5,0)+IF(AB8="x",$X$5,0)+IF(AD8="x",$Z$5,0)+IF(AF8="x",$AB$5,0)+IF(AH8="x",$AD$5,0)+IF(AJ8="x",$AF$5,0)+IF(#REF!="x",$AH$5,0)+IF(#REF!="x",$AJ$5,0)+IF(AL8="x",$AL$5,0)+IF(AN8="x",$AN$5,0)+IF(AP8="x",$AP$5,0)+IF(AR8="x",$AR$5,0)+IF(#REF!="x",#REF!,0)+IF(#REF!="x",#REF!,0)+IF(#REF!="x",#REF!,0))</f>
        <v>#REF!</v>
      </c>
      <c r="F8" s="27"/>
      <c r="G8" s="27"/>
      <c r="H8" s="219" t="s">
        <v>41</v>
      </c>
      <c r="I8" s="220"/>
      <c r="J8" s="219" t="s">
        <v>41</v>
      </c>
      <c r="K8" s="220"/>
      <c r="L8" s="219" t="s">
        <v>41</v>
      </c>
      <c r="M8" s="220"/>
      <c r="N8" s="16" t="s">
        <v>41</v>
      </c>
      <c r="O8" s="25"/>
      <c r="P8" s="16" t="s">
        <v>41</v>
      </c>
      <c r="Q8" s="25"/>
      <c r="R8" s="16" t="s">
        <v>41</v>
      </c>
      <c r="S8" s="25"/>
      <c r="T8" s="15" t="s">
        <v>41</v>
      </c>
      <c r="V8" s="15" t="s">
        <v>41</v>
      </c>
      <c r="X8" s="16" t="s">
        <v>41</v>
      </c>
      <c r="Y8" s="25"/>
      <c r="Z8" s="16" t="s">
        <v>41</v>
      </c>
      <c r="AA8" s="25"/>
      <c r="AB8" s="16"/>
      <c r="AC8" s="25"/>
      <c r="AD8" s="16"/>
      <c r="AE8" s="25"/>
      <c r="AF8" s="16"/>
      <c r="AG8" s="25"/>
      <c r="AH8" s="16"/>
      <c r="AI8" s="25"/>
      <c r="AJ8" s="16" t="s">
        <v>41</v>
      </c>
      <c r="AK8" s="25"/>
      <c r="AN8" s="221"/>
      <c r="AO8" s="222"/>
      <c r="AP8" s="223"/>
      <c r="AQ8" s="222"/>
      <c r="AR8" s="223"/>
      <c r="AS8" s="222"/>
    </row>
    <row r="9" spans="1:45" s="15" customFormat="1" ht="15.5">
      <c r="D9" s="26" t="s">
        <v>42</v>
      </c>
      <c r="E9" s="26" t="e">
        <f>SUM(IF(N9="x",$O$5,0)+IF(P9="x",$P$5,0)+IF(R9="x",$R$5,0)+IF(Y9="x",$T$5,0)+IF(Z9="x",$V$5,0)+IF(AC9="x",$X$5,0)+IF(AD9="x",$Z$5,0)+IF(AF9="x",$AB$5,0)+IF(AH9="x",$AD$5,0)+IF(AJ9="x",$AF$5,0)+IF(#REF!="x",$AH$5,0)+IF(#REF!="x",$AJ$5,0)+IF(AM9="x",$AL$5,0)+IF(AO9="x",$AN$5,0)+IF(AQ9="x",$AP$5,0)+IF(AS9="x",$AR$5,0)+IF(#REF!="x",#REF!,0)+IF(#REF!="x",#REF!,0)+IF(#REF!="x",#REF!,0))</f>
        <v>#REF!</v>
      </c>
      <c r="F9" s="27"/>
      <c r="G9" s="27"/>
      <c r="H9" s="219" t="s">
        <v>41</v>
      </c>
      <c r="I9" s="220"/>
      <c r="J9" s="219" t="s">
        <v>41</v>
      </c>
      <c r="K9" s="220"/>
      <c r="L9" s="219" t="s">
        <v>41</v>
      </c>
      <c r="M9" s="220"/>
      <c r="N9" s="16" t="s">
        <v>41</v>
      </c>
      <c r="O9" s="25"/>
      <c r="P9" s="16" t="s">
        <v>41</v>
      </c>
      <c r="Q9" s="25"/>
      <c r="R9" s="16" t="s">
        <v>41</v>
      </c>
      <c r="S9" s="25"/>
      <c r="T9" s="15" t="s">
        <v>41</v>
      </c>
      <c r="V9" s="15" t="s">
        <v>41</v>
      </c>
      <c r="X9" s="16" t="s">
        <v>41</v>
      </c>
      <c r="Y9" s="25"/>
      <c r="Z9" s="16" t="s">
        <v>41</v>
      </c>
      <c r="AA9" s="25"/>
      <c r="AB9" s="16" t="s">
        <v>41</v>
      </c>
      <c r="AC9" s="25"/>
      <c r="AD9" s="16" t="s">
        <v>41</v>
      </c>
      <c r="AE9" s="25"/>
      <c r="AF9" s="16"/>
      <c r="AG9" s="25"/>
      <c r="AH9" s="16"/>
      <c r="AI9" s="25"/>
      <c r="AJ9" s="16" t="s">
        <v>41</v>
      </c>
      <c r="AK9" s="25"/>
      <c r="AN9" s="221"/>
      <c r="AO9" s="222"/>
      <c r="AP9" s="223"/>
      <c r="AQ9" s="222"/>
      <c r="AR9" s="223"/>
      <c r="AS9" s="222"/>
    </row>
    <row r="10" spans="1:45" s="15" customFormat="1" ht="15.5">
      <c r="D10" s="26" t="s">
        <v>43</v>
      </c>
      <c r="E10" s="26" t="e">
        <f>SUM(IF(O10="x",$O$5,0)+IF(Q10="x",$P$5,0)+IF(S10="x",$R$5,0)+IF(Y10="x",$T$5,0)+IF(AA10="x",$V$5,0)+IF(AC10="x",$X$5,0)+IF(AD10="x",$Z$5,0)+IF(AF10="x",$AB$5,0)+IF(AH10="x",$AD$5,0)+IF(AJ10="x",$AF$5,0)+IF(#REF!="x",$AH$5,0)+IF(#REF!="x",$AJ$5,0)+IF(AL10="x",$AL$5,0)+IF(AN10="x",$AN$5,0)+IF(AP10="x",$AP$5,0)+IF(AR10="x",$AR$5,0)+IF(#REF!="x",#REF!,0)+IF(#REF!="x",#REF!,0)+IF(#REF!="x",#REF!,0))</f>
        <v>#REF!</v>
      </c>
      <c r="F10" s="27"/>
      <c r="G10" s="75"/>
      <c r="H10" s="229" t="s">
        <v>41</v>
      </c>
      <c r="I10" s="229"/>
      <c r="J10" s="219" t="s">
        <v>41</v>
      </c>
      <c r="K10" s="220"/>
      <c r="L10" s="219" t="s">
        <v>41</v>
      </c>
      <c r="M10" s="220"/>
      <c r="N10" s="16" t="s">
        <v>41</v>
      </c>
      <c r="O10" s="25"/>
      <c r="P10" s="16"/>
      <c r="Q10" s="25"/>
      <c r="R10" s="16" t="s">
        <v>41</v>
      </c>
      <c r="S10" s="25"/>
      <c r="T10" s="15" t="s">
        <v>41</v>
      </c>
      <c r="V10" s="15" t="s">
        <v>41</v>
      </c>
      <c r="X10" s="16"/>
      <c r="Y10" s="25"/>
      <c r="Z10" s="16"/>
      <c r="AA10" s="25"/>
      <c r="AB10" s="16" t="s">
        <v>41</v>
      </c>
      <c r="AC10" s="25"/>
      <c r="AD10" s="16" t="s">
        <v>41</v>
      </c>
      <c r="AE10" s="25"/>
      <c r="AF10" s="16" t="s">
        <v>41</v>
      </c>
      <c r="AG10" s="25"/>
      <c r="AH10" s="16" t="s">
        <v>41</v>
      </c>
      <c r="AI10" s="25"/>
      <c r="AJ10" s="16" t="s">
        <v>41</v>
      </c>
      <c r="AK10" s="25"/>
      <c r="AN10" s="221"/>
      <c r="AO10" s="222"/>
      <c r="AP10" s="223"/>
      <c r="AQ10" s="222"/>
      <c r="AR10" s="223"/>
      <c r="AS10" s="222"/>
    </row>
    <row r="11" spans="1:45" s="15" customFormat="1" ht="15.5">
      <c r="D11" s="26" t="s">
        <v>44</v>
      </c>
      <c r="E11" s="26" t="e">
        <f>SUM(IF(O11="x",$O$5,0)+IF(Q11="x",$P$5,0)+IF(S11="x",$R$5,0)+IF(Y11="x",$T$5,0)+IF(AA11="x",$V$5,0)+IF(AC11="x",$X$5,0)+IF(AD11="x",$Z$5,0)+IF(AF11="x",$AB$5,0)+IF(AH11="x",$AD$5,0)+IF(AJ11="x",$AF$5,0)+IF(#REF!="x",$AH$5,0)+IF(#REF!="x",$AJ$5,0)+IF(AL11="x",$AL$5,0)+IF(AN11="x",$AN$5,0)+IF(AP11="x",$AP$5,0)+IF(AR11="x",$AR$5,0)+IF(#REF!="x",#REF!,0)+IF(#REF!="x",#REF!,0)+IF(#REF!="x",#REF!,0))</f>
        <v>#REF!</v>
      </c>
      <c r="F11" s="27"/>
      <c r="G11" s="27"/>
      <c r="H11" s="219" t="s">
        <v>41</v>
      </c>
      <c r="I11" s="220"/>
      <c r="J11" s="219" t="s">
        <v>41</v>
      </c>
      <c r="K11" s="220"/>
      <c r="L11" s="219" t="s">
        <v>41</v>
      </c>
      <c r="M11" s="220"/>
      <c r="N11" s="16" t="s">
        <v>41</v>
      </c>
      <c r="O11" s="25"/>
      <c r="P11" s="16"/>
      <c r="Q11" s="25"/>
      <c r="R11" s="16" t="s">
        <v>41</v>
      </c>
      <c r="S11" s="25"/>
      <c r="T11" s="15" t="s">
        <v>41</v>
      </c>
      <c r="V11" s="15" t="s">
        <v>41</v>
      </c>
      <c r="X11" s="16"/>
      <c r="Y11" s="25"/>
      <c r="Z11" s="16"/>
      <c r="AA11" s="25"/>
      <c r="AB11" s="16" t="s">
        <v>41</v>
      </c>
      <c r="AC11" s="25"/>
      <c r="AD11" s="16" t="s">
        <v>41</v>
      </c>
      <c r="AE11" s="25"/>
      <c r="AF11" s="16" t="s">
        <v>41</v>
      </c>
      <c r="AG11" s="25"/>
      <c r="AH11" s="16" t="s">
        <v>41</v>
      </c>
      <c r="AI11" s="25"/>
      <c r="AJ11" s="16" t="s">
        <v>41</v>
      </c>
      <c r="AK11" s="25"/>
      <c r="AN11" s="221"/>
      <c r="AO11" s="222"/>
      <c r="AP11" s="223"/>
      <c r="AQ11" s="222"/>
      <c r="AR11" s="223"/>
      <c r="AS11" s="222"/>
    </row>
    <row r="12" spans="1:45">
      <c r="D12" t="s">
        <v>45</v>
      </c>
      <c r="E12" s="17" t="s">
        <v>46</v>
      </c>
      <c r="F12" s="17" t="s">
        <v>47</v>
      </c>
      <c r="G12" s="8" t="s">
        <v>48</v>
      </c>
      <c r="H12" s="17" t="s">
        <v>49</v>
      </c>
      <c r="I12" s="17" t="s">
        <v>50</v>
      </c>
      <c r="J12" s="17" t="s">
        <v>49</v>
      </c>
      <c r="K12" s="17" t="s">
        <v>50</v>
      </c>
      <c r="L12" s="17" t="s">
        <v>49</v>
      </c>
      <c r="M12" s="17" t="s">
        <v>50</v>
      </c>
      <c r="N12" s="17" t="s">
        <v>49</v>
      </c>
      <c r="O12" s="17" t="s">
        <v>50</v>
      </c>
      <c r="P12" s="17" t="s">
        <v>49</v>
      </c>
      <c r="Q12" s="17" t="s">
        <v>50</v>
      </c>
      <c r="R12" s="17" t="s">
        <v>49</v>
      </c>
      <c r="S12" s="17" t="s">
        <v>50</v>
      </c>
      <c r="T12" s="17" t="s">
        <v>49</v>
      </c>
      <c r="U12" s="17" t="s">
        <v>50</v>
      </c>
      <c r="V12" s="17" t="s">
        <v>49</v>
      </c>
      <c r="W12" s="17" t="s">
        <v>50</v>
      </c>
      <c r="X12" s="17" t="s">
        <v>49</v>
      </c>
      <c r="Y12" s="17" t="s">
        <v>50</v>
      </c>
      <c r="Z12" s="17" t="s">
        <v>49</v>
      </c>
      <c r="AA12" s="17" t="s">
        <v>50</v>
      </c>
      <c r="AB12" s="17" t="s">
        <v>49</v>
      </c>
      <c r="AC12" s="17" t="s">
        <v>50</v>
      </c>
      <c r="AD12" s="17"/>
    </row>
    <row r="13" spans="1:45" s="7" customFormat="1" ht="18.5">
      <c r="A13" s="84" t="s">
        <v>6</v>
      </c>
      <c r="B13" s="85" t="s">
        <v>51</v>
      </c>
      <c r="C13" s="85" t="s">
        <v>52</v>
      </c>
      <c r="D13" s="19" t="s">
        <v>40</v>
      </c>
      <c r="E13" s="20">
        <v>44914</v>
      </c>
      <c r="F13" s="20">
        <v>44928</v>
      </c>
      <c r="G13" s="20">
        <f>MAX(I13:AAB13)</f>
        <v>44967</v>
      </c>
      <c r="H13" s="20"/>
      <c r="I13" s="86">
        <f>IF((($D13=$D$8)*($H$8="x"))+(($D13=$D$9)*($H$9="x"))+(($D13=$D$10)*($H$10="x"))+(($D13=$D$11)*($H$11="x")), WORKDAY.INTL(E13,SUM($I$4,H13),1,holidays!A5:A38),E13)</f>
        <v>44916</v>
      </c>
      <c r="J13" s="87"/>
      <c r="K13" s="86">
        <f>IF((($D13=$D$8)*($J$8="x"))+(($D13=$D$9)*($J$9="x"))+(($D13=$D$10)*($J$10="x"))+(($D13=$D$11)*($J$11="x")), WORKDAY.INTL(I13,SUM($J$4,J13,-1),1,holidays!A$4:A$1503),I13)</f>
        <v>44918</v>
      </c>
      <c r="L13" s="87"/>
      <c r="M13" s="86">
        <f>IF((($D13=$D$8)*($L$8="x"))+(($D13=$D$9)*($L$9="x"))+(($D13=$D$10)*($L$10="x"))+(($D13=$D$11)*($L$11="x")), WORKDAY.INTL(K13,SUM($L$4,L13,-1),1,holidays!A$4:A$1503),K13)</f>
        <v>44928</v>
      </c>
      <c r="N13" s="21"/>
      <c r="O13" s="88">
        <f>IF((($D13=$D$8)*($N$8="x"))+(($D13=$D$9)*($N$9="x"))+(($D13=$D$10)*($N$10="x"))+(($D13=$D$11)*($N$11="x")), WORKDAY.INTL(IF($A13="N",$M13,$F13),SUM($N$4,N13,-1),1,holidays!A$4:A$1503),IF($A13="N",$M13,$F13))</f>
        <v>44929</v>
      </c>
      <c r="Q13" s="89">
        <f>IF((($D13=$D$8)*($P$8="x"))+(($D13=$D$9)*($P$9="x"))+(($D13=$D$10)*($P$10="x"))+(($D13=$D$11)*($P$11="x")), WORKDAY.INTL(O13,SUM($P$4,P13),1,holidays!A$4:A$1503),O13)</f>
        <v>44945</v>
      </c>
      <c r="R13" s="22" t="str">
        <f>IF(((E13=$D$8)*($P$8="x"))+((E13=$D$9)*($P$9="x"))+((E13=$D$10)*($P$10="x"))+((E13=$D$11)*($P$11="x")), WORKDAY.INTL(P13,SUM($P$4,Q13),1,[1]holidays!B1:B14),"")</f>
        <v/>
      </c>
      <c r="S13" s="22">
        <f>IF((($D13=$D$8)*($R$8="x"))+(($D13=$D$9)*($R$9="x"))+(($D13=$D$10)*($R$10="x"))+(($D13=$D$11)*($R$11="x")), WORKDAY.INTL(Q13,SUM($R$4,R13),1,holidays!A$4:A$1503),Q13)</f>
        <v>44949</v>
      </c>
      <c r="U13" s="22">
        <f>IF((($D13=$D$8)*($T$8="x"))+(($D13=$D$9)*($T$9="x"))+(($D13=$D$10)*($T$10="x"))+(($D13=$D$11)*($T$11="x")), WORKDAY.INTL(S13,SUM($T$4,T13),1,holidays!A$4:A$1503),S13)</f>
        <v>44953</v>
      </c>
      <c r="V13" s="7">
        <v>0.5</v>
      </c>
      <c r="W13" s="22">
        <f>IF((($D13=$D$8)*($V$8="x"))+(($D13=$D$9)*($V$9="x"))+(($D13=$D$10)*($V$10="x"))+(($D13=$D$11)*($V$11="x")), WORKDAY.INTL(U13,SUM($V$4,V13),1,holidays!A$4:A$1503),U13)</f>
        <v>44957</v>
      </c>
      <c r="Y13" s="22">
        <f>IF((($D13=$D$8)*($X$8="x"))+(($D13=$D$9)*($X$9="x"))+(($D13=$D$10)*($X$10="x"))+(($D13=$D$11)*($X$11="x")), WORKDAY.INTL(W13,SUM($X$4,X13),1,holidays!A$4:A$1503),W13)</f>
        <v>44957</v>
      </c>
      <c r="Z13" s="7">
        <v>1</v>
      </c>
      <c r="AA13" s="22">
        <f>IF((($D13=$D$8)*($Z$8="x"))+(($D13=$D$9)*($Z$9="x"))+(($D13=$D$10)*($Z$10="x"))+(($D13=$D$11)*($Z$11="x")), WORKDAY.INTL(Y13,SUM($Z$4,Z13),1,holidays!A$4:A$1503),Y13)</f>
        <v>44958</v>
      </c>
      <c r="AC13" s="22">
        <f>IF((($D13=$D$8)*($AB$8="x"))+(($D13=$D$9)*($AB$9="x"))+(($D13=$D$10)*($AB$10="x"))+(($D13=$D$11)*($AB$11="x")), WORKDAY.INTL(AA13,SUM($AB$4,AB13),1,holidays!A$4:A$1503),AA13)</f>
        <v>44958</v>
      </c>
      <c r="AD13" s="7">
        <v>1</v>
      </c>
      <c r="AE13" s="22">
        <f>IF((($D13=$D$8)*($AD$8="x"))+(($D13=$D$9)*($AD$9="x"))+(($D13=$D$10)*($AD$10="x"))+(($D13=$D$11)*($AD$11="x")), WORKDAY.INTL(AC13,SUM($AD$4,AD13),1,holidays!A$4:A$1503),AC13)</f>
        <v>44958</v>
      </c>
      <c r="AG13" s="22">
        <f>IF((($D13=$D$8)*($AF$8="x"))+(($D13=$D$9)*($AF$9="x"))+(($D13=$D$10)*($AF$10="x"))+(($D13=$D$11)*($AF$11="x")), WORKDAY.INTL(AE13,SUM($AF$4,AF13),1,holidays!A$4:A$1503),AE13)</f>
        <v>44958</v>
      </c>
      <c r="AH13" s="7">
        <v>30</v>
      </c>
      <c r="AI13" s="139">
        <f>IF((($D13=$D$8)*($AH$8="x"))+(($D13=$D$9)*($AH$9="x"))+(($D13=$D$10)*($AH$10="x"))+(($D13=$D$11)*($AH$11="x")), WORKDAY.INTL(AG13,SUM($AH$4,AH13),1,holidays!A$4:A$1503),AG13)</f>
        <v>44958</v>
      </c>
      <c r="AJ13" s="30"/>
      <c r="AK13" s="22">
        <f>IF((($D13=$D$8)*($AJ$8="x"))+(($D13=$D$9)*($AJ$9="x"))+(($D13=$D$10)*($AJ$10="x"))+(($D13=$D$11)*($AJ$11="x")), WORKDAY.INTL(AI13,SUM($AJ$4,AJ13),1,holidays!A$4:A$1503),AI13)</f>
        <v>44967</v>
      </c>
      <c r="AL13" s="30"/>
      <c r="AM13" s="90">
        <f>IF((($D13=$D$8)*($AL$8="x"))+(($D13=$D$9)*($AL$9="x"))+(($D13=$D$10)*($AL$10="x"))+(($D13=$D$11)*($AL$11="x")), WORKDAY.INTL(AK13,SUM($AL$4,AL13),1,[1]holidays!Y1:Y14),AK13)</f>
        <v>44967</v>
      </c>
      <c r="AN13" s="30"/>
      <c r="AO13" s="90">
        <f>IF((($D13=$D$8)*($AN$8="x"))+(($D13=$D$9)*($AN$9="x"))+(($D13=$D$10)*($AN$10="x"))+(($D13=$D$11)*($AN$11="x")), WORKDAY.INTL(AM13,SUM($AN$4,AN13),1,[1]holidays!AA1:AA14),AM13)</f>
        <v>44967</v>
      </c>
      <c r="AP13" s="30"/>
      <c r="AQ13" s="90">
        <f>IF((($D13=$D$8)*($AP$8="x"))+(($D13=$D$9)*($AP$9="x"))+(($D13=$D$10)*($AP$10="x"))+(($D13=$D$11)*($AP$11="x")), WORKDAY.INTL(AO13,SUM($AP$4,AP13),1,[1]holidays!AC1:AC14),AO13)</f>
        <v>44967</v>
      </c>
      <c r="AR13" s="30"/>
      <c r="AS13" s="90">
        <f>IF((($D13=$D$8)*($AR$8="x"))+(($D13=$D$9)*($AR$9="x"))+(($D13=$D$10)*($AR$10="x"))+(($D13=$D$11)*($AR$11="x")), WORKDAY.INTL(AQ13,SUM($AR$4,AR13),1,[1]holidays!AE1:AE14),AQ13)</f>
        <v>44967</v>
      </c>
    </row>
    <row r="14" spans="1:45" s="7" customFormat="1" ht="18.5">
      <c r="A14" s="84" t="s">
        <v>8</v>
      </c>
      <c r="B14" s="85" t="s">
        <v>53</v>
      </c>
      <c r="C14" s="85"/>
      <c r="D14" s="19" t="s">
        <v>42</v>
      </c>
      <c r="E14" s="20">
        <v>44928</v>
      </c>
      <c r="F14" s="20">
        <v>44935</v>
      </c>
      <c r="G14" s="20">
        <f t="shared" ref="G14:G19" si="0">MAX(I14:AAB14)</f>
        <v>44974</v>
      </c>
      <c r="H14" s="91"/>
      <c r="I14" s="92">
        <f>IF((($D14=$D$8)*($H$8="x"))+(($D14=$D$9)*($H$9="x"))+(($D14=$D$10)*($H$10="x"))+(($D14=$D$11)*($H$11="x")), WORKDAY.INTL(E14,SUM($I$4,H14),1,holidays!A5:A38),E14)</f>
        <v>44930</v>
      </c>
      <c r="J14" s="93"/>
      <c r="K14" s="92">
        <f>IF((($D14=$D$8)*($J$8="x"))+(($D14=$D$9)*($J$9="x"))+(($D14=$D$10)*($J$10="x"))+(($D14=$D$11)*($J$11="x")), WORKDAY.INTL(I14,SUM($J$4,J14,-1),1,holidays!A5:A23),I14)</f>
        <v>44935</v>
      </c>
      <c r="L14" s="93"/>
      <c r="M14" s="93">
        <f>IF((($D14=$D$8)*($L$8="x"))+(($D14=$D$9)*($L$9="x"))+(($D14=$D$10)*($L$10="x"))+(($D14=$D$11)*($L$11="x")), WORKDAY.INTL(K14,SUM($L$4,L14,-1),1,holidays!A$4:A$1503),K14)</f>
        <v>44936</v>
      </c>
      <c r="N14" s="31"/>
      <c r="O14" s="88">
        <f>IF((($D14=$D$8)*($N$8="x"))+(($D14=$D$9)*($N$9="x"))+(($D14=$D$10)*($N$10="x"))+(($D14=$D$11)*($N$11="x")), WORKDAY.INTL(IF($A14="N",$M14,$F14),SUM($N$4,N14,-1),1,holidays!A$4:A$1503),IF($A14="N",$M14,$F14))</f>
        <v>44936</v>
      </c>
      <c r="Q14" s="89">
        <f>IF((($D14=$D$8)*($P$8="x"))+(($D14=$D$9)*($P$9="x"))+(($D14=$D$10)*($P$10="x"))+(($D14=$D$11)*($P$11="x")), WORKDAY.INTL(O14,SUM($P$4,P14),1,holidays!A$4:A$1503),O14)</f>
        <v>44951</v>
      </c>
      <c r="S14" s="22">
        <f>IF((($D14=$D$8)*($R$8="x"))+(($D14=$D$9)*($R$9="x"))+(($D14=$D$10)*($R$10="x"))+(($D14=$D$11)*($R$11="x")), WORKDAY.INTL(Q14,SUM($R$4,R14),1,holidays!A$4:A$1503),Q14)</f>
        <v>44953</v>
      </c>
      <c r="U14" s="22">
        <f>IF((($D14=$D$8)*($T$8="x"))+(($D14=$D$9)*($T$9="x"))+(($D14=$D$10)*($T$10="x"))+(($D14=$D$11)*($T$11="x")), WORKDAY.INTL(S14,SUM($T$4,T14),1,holidays!A$4:A$1503),S14)</f>
        <v>44959</v>
      </c>
      <c r="W14" s="22">
        <f>IF((($D14=$D$8)*($V$8="x"))+(($D14=$D$9)*($V$9="x"))+(($D14=$D$10)*($V$10="x"))+(($D14=$D$11)*($V$11="x")), WORKDAY.INTL(U14,SUM($V$4,V14),1,holidays!A$4:A$1503),U14)</f>
        <v>44963</v>
      </c>
      <c r="Y14" s="22">
        <f>IF((($D14=$D$8)*($X$8="x"))+(($D14=$D$9)*($X$9="x"))+(($D14=$D$10)*($X$10="x"))+(($D14=$D$11)*($X$11="x")), WORKDAY.INTL(W14,SUM($X$4,X14),1,holidays!A$4:A$1503),W14)</f>
        <v>44963</v>
      </c>
      <c r="Z14" s="7">
        <v>1</v>
      </c>
      <c r="AA14" s="22">
        <f>IF((($D14=$D$8)*($Z$8="x"))+(($D14=$D$9)*($Z$9="x"))+(($D14=$D$10)*($Z$10="x"))+(($D14=$D$11)*($Z$11="x")), WORKDAY.INTL(Y14,SUM($Z$4,Z14),1,holidays!A$4:A$1503),Y14)</f>
        <v>44964</v>
      </c>
      <c r="AB14" s="22"/>
      <c r="AC14" s="22">
        <f>IF((($D14=$D$8)*($AB$8="x"))+(($D14=$D$9)*($AB$9="x"))+(($D14=$D$10)*($AB$10="x"))+(($D14=$D$11)*($AB$11="x")), WORKDAY.INTL(AA14,SUM($AB$4,AB14),1,holidays!A$4:A$1503),AA14)</f>
        <v>44964</v>
      </c>
      <c r="AD14" s="7">
        <v>1</v>
      </c>
      <c r="AE14" s="22">
        <f>IF((($D14=$D$8)*($AD$8="x"))+(($D14=$D$9)*($AD$9="x"))+(($D14=$D$10)*($AD$10="x"))+(($D14=$D$11)*($AD$11="x")), WORKDAY.INTL(AC14,SUM($AD$4,AD14),1,holidays!A$4:A$1503),AC14)</f>
        <v>44965</v>
      </c>
      <c r="AG14" s="22">
        <f>IF((($D14=$D$8)*($AF$8="x"))+(($D14=$D$9)*($AF$9="x"))+(($D14=$D$10)*($AF$10="x"))+(($D14=$D$11)*($AF$11="x")), WORKDAY.INTL(AE14,SUM($AF$4,AF14),1,holidays!A$4:A$1503),AE14)</f>
        <v>44965</v>
      </c>
      <c r="AH14" s="7">
        <v>1</v>
      </c>
      <c r="AI14" s="22">
        <f>IF((($D14=$D$8)*($AH$8="x"))+(($D14=$D$9)*($AH$9="x"))+(($D14=$D$10)*($AH$10="x"))+(($D14=$D$11)*($AH$11="x")), WORKDAY.INTL(AG14,SUM($AH$4,AH14),1,holidays!A$4:A$1503),AG14)</f>
        <v>44965</v>
      </c>
      <c r="AJ14" s="30"/>
      <c r="AK14" s="22">
        <f>IF((($D14=$D$8)*($AJ$8="x"))+(($D14=$D$9)*($AJ$9="x"))+(($D14=$D$10)*($AJ$10="x"))+(($D14=$D$11)*($AJ$11="x")), WORKDAY.INTL(AI14,SUM($AJ$4,AJ14),1,holidays!A$4:A$1503),AI14)</f>
        <v>44974</v>
      </c>
      <c r="AL14" s="30"/>
      <c r="AM14" s="90">
        <f>IF((($D14=$D$8)*($AL$8="x"))+(($D14=$D$9)*($AL$9="x"))+(($D14=$D$10)*($AL$10="x"))+(($D14=$D$11)*($AL$11="x")), WORKDAY.INTL(AK14,SUM($AL$4,AL14),1,[1]holidays!Y2:Y15),AK14)</f>
        <v>44974</v>
      </c>
      <c r="AN14" s="30"/>
      <c r="AO14" s="90">
        <f>IF((($D14=$D$8)*($AN$8="x"))+(($D14=$D$9)*($AN$9="x"))+(($D14=$D$10)*($AN$10="x"))+(($D14=$D$11)*($AN$11="x")), WORKDAY.INTL(AM14,SUM($AN$4,AN14),1,[1]holidays!AA2:AA15),AM14)</f>
        <v>44974</v>
      </c>
      <c r="AP14" s="30"/>
      <c r="AQ14" s="90">
        <f>IF((($D14=$D$8)*($AP$8="x"))+(($D14=$D$9)*($AP$9="x"))+(($D14=$D$10)*($AP$10="x"))+(($D14=$D$11)*($AP$11="x")), WORKDAY.INTL(AO14,SUM($AP$4,AP14),1,[1]holidays!AC2:AC15),AO14)</f>
        <v>44974</v>
      </c>
      <c r="AR14" s="30"/>
      <c r="AS14" s="90">
        <f>IF((($D14=$D$8)*($AR$8="x"))+(($D14=$D$9)*($AR$9="x"))+(($D14=$D$10)*($AR$10="x"))+(($D14=$D$11)*($AR$11="x")), WORKDAY.INTL(AQ14,SUM($AR$4,AR14),1,[1]holidays!AE2:AE15),AQ14)</f>
        <v>44974</v>
      </c>
    </row>
    <row r="15" spans="1:45" s="7" customFormat="1" ht="18.5">
      <c r="A15" s="7" t="s">
        <v>8</v>
      </c>
      <c r="B15" s="94" t="s">
        <v>54</v>
      </c>
      <c r="C15" s="94"/>
      <c r="D15" s="19" t="s">
        <v>40</v>
      </c>
      <c r="E15" s="22">
        <v>44952</v>
      </c>
      <c r="F15" s="20">
        <v>44956</v>
      </c>
      <c r="G15" s="20">
        <f t="shared" si="0"/>
        <v>44994</v>
      </c>
      <c r="H15" s="91"/>
      <c r="I15" s="92">
        <f>IF((($D15=$D$8)*($H$8="x"))+(($D15=$D$9)*($H$9="x"))+(($D15=$D$10)*($H$10="x"))+(($D15=$D$11)*($H$11="x")), WORKDAY.INTL(E15,SUM($I$4,H15),1,holidays!A6:A39),E15)</f>
        <v>44956</v>
      </c>
      <c r="J15" s="93"/>
      <c r="K15" s="92">
        <f>IF((($D15=$D$8)*($J$8="x"))+(($D15=$D$9)*($J$9="x"))+(($D15=$D$10)*($J$10="x"))+(($D15=$D$11)*($J$11="x")), WORKDAY.INTL(I15,SUM($J$4,J15,-1),1,holidays!A6:A24),I15)</f>
        <v>44958</v>
      </c>
      <c r="L15" s="93"/>
      <c r="M15" s="93">
        <f>IF((($D15=$D$8)*($L$8="x"))+(($D15=$D$9)*($L$9="x"))+(($D15=$D$10)*($L$10="x"))+(($D15=$D$11)*($L$11="x")), WORKDAY.INTL(K15,SUM($L$4,L15,-1),1,holidays!A$4:A$1503),K15)</f>
        <v>44959</v>
      </c>
      <c r="N15" s="31"/>
      <c r="O15" s="88">
        <f>IF((($D15=$D$8)*($N$8="x"))+(($D15=$D$9)*($N$9="x"))+(($D15=$D$10)*($N$10="x"))+(($D15=$D$11)*($N$11="x")), WORKDAY.INTL(IF($A15="N",$M15,$F15),SUM($N$4,N15,-1),1,holidays!A$4:A$1503),IF($A15="N",$M15,$F15))</f>
        <v>44957</v>
      </c>
      <c r="Q15" s="22">
        <f>IF((($D15=$D$8)*($P$8="x"))+(($D15=$D$9)*($P$9="x"))+(($D15=$D$10)*($P$10="x"))+(($D15=$D$11)*($P$11="x")), WORKDAY.INTL(O15,SUM($P$4,P15),1,holidays!A$4:A$1503),O15)</f>
        <v>44972</v>
      </c>
      <c r="S15" s="22">
        <f>IF((($D15=$D$8)*($R$8="x"))+(($D15=$D$9)*($R$9="x"))+(($D15=$D$10)*($R$10="x"))+(($D15=$D$11)*($R$11="x")), WORKDAY.INTL(Q15,SUM($R$4,R15),1,holidays!A$4:A$1503),Q15)</f>
        <v>44974</v>
      </c>
      <c r="U15" s="22">
        <f>IF((($D15=$D$8)*($T$8="x"))+(($D15=$D$9)*($T$9="x"))+(($D15=$D$10)*($T$10="x"))+(($D15=$D$11)*($T$11="x")), WORKDAY.INTL(S15,SUM($T$4,T15),1,holidays!A$4:A$1503),S15)</f>
        <v>44980</v>
      </c>
      <c r="W15" s="22">
        <f>IF((($D15=$D$8)*($V$8="x"))+(($D15=$D$9)*($V$9="x"))+(($D15=$D$10)*($V$10="x"))+(($D15=$D$11)*($V$11="x")), WORKDAY.INTL(U15,SUM($V$4,V15),1,holidays!A$4:A$1503),U15)</f>
        <v>44984</v>
      </c>
      <c r="Y15" s="22">
        <f>IF((($D15=$D$8)*($X$8="x"))+(($D15=$D$9)*($X$9="x"))+(($D15=$D$10)*($X$10="x"))+(($D15=$D$11)*($X$11="x")), WORKDAY.INTL(W15,SUM($X$4,X15),1,holidays!A$4:A$1503),W15)</f>
        <v>44984</v>
      </c>
      <c r="Z15" s="7">
        <v>1</v>
      </c>
      <c r="AA15" s="22">
        <f>IF((($D15=$D$8)*($Z$8="x"))+(($D15=$D$9)*($Z$9="x"))+(($D15=$D$10)*($Z$10="x"))+(($D15=$D$11)*($Z$11="x")), WORKDAY.INTL(Y15,SUM($Z$4,Z15),1,holidays!A$4:A$1503),Y15)</f>
        <v>44985</v>
      </c>
      <c r="AC15" s="22">
        <f>IF((($D15=$D$8)*($AB$8="x"))+(($D15=$D$9)*($AB$9="x"))+(($D15=$D$10)*($AB$10="x"))+(($D15=$D$11)*($AB$11="x")), WORKDAY.INTL(AA15,SUM($AB$4,AB15),1,holidays!A$4:A$1503),AA15)</f>
        <v>44985</v>
      </c>
      <c r="AD15" s="7">
        <v>1</v>
      </c>
      <c r="AE15" s="22">
        <f>IF((($D15=$D$8)*($AD$8="x"))+(($D15=$D$9)*($AD$9="x"))+(($D15=$D$10)*($AD$10="x"))+(($D15=$D$11)*($AD$11="x")), WORKDAY.INTL(AC15,SUM($AD$4,AD15),1,holidays!A$4:A$1503),AC15)</f>
        <v>44985</v>
      </c>
      <c r="AG15" s="22">
        <f>IF((($D15=$D$8)*($AF$8="x"))+(($D15=$D$9)*($AF$9="x"))+(($D15=$D$10)*($AF$10="x"))+(($D15=$D$11)*($AF$11="x")), WORKDAY.INTL(AE15,SUM($AF$4,AF15),1,holidays!A$4:A$1503),AE15)</f>
        <v>44985</v>
      </c>
      <c r="AH15" s="7">
        <v>1</v>
      </c>
      <c r="AI15" s="22">
        <f>IF((($D15=$D$8)*($AH$8="x"))+(($D15=$D$9)*($AH$9="x"))+(($D15=$D$10)*($AH$10="x"))+(($D15=$D$11)*($AH$11="x")), WORKDAY.INTL(AG15,SUM($AH$4,AH15),1,holidays!A$4:A$1503),AG15)</f>
        <v>44985</v>
      </c>
      <c r="AJ15" s="30"/>
      <c r="AK15" s="22">
        <f>IF((($D15=$D$8)*($AJ$8="x"))+(($D15=$D$9)*($AJ$9="x"))+(($D15=$D$10)*($AJ$10="x"))+(($D15=$D$11)*($AJ$11="x")), WORKDAY.INTL(AI15,SUM($AJ$4,AJ15),1,holidays!A$4:A$1503),AI15)</f>
        <v>44994</v>
      </c>
      <c r="AL15" s="30"/>
      <c r="AM15" s="90">
        <f>IF((($D15=$D$8)*($AL$8="x"))+(($D15=$D$9)*($AL$9="x"))+(($D15=$D$10)*($AL$10="x"))+(($D15=$D$11)*($AL$11="x")), WORKDAY.INTL(AK15,SUM($AL$4,AL15),1,[1]holidays!Y3:Y16),AK15)</f>
        <v>44994</v>
      </c>
      <c r="AN15" s="30"/>
      <c r="AO15" s="90">
        <f>IF((($D15=$D$8)*($AN$8="x"))+(($D15=$D$9)*($AN$9="x"))+(($D15=$D$10)*($AN$10="x"))+(($D15=$D$11)*($AN$11="x")), WORKDAY.INTL(AM15,SUM($AN$4,AN15),1,[1]holidays!AA3:AA16),AM15)</f>
        <v>44994</v>
      </c>
      <c r="AP15" s="30"/>
      <c r="AQ15" s="90">
        <f>IF((($D15=$D$8)*($AP$8="x"))+(($D15=$D$9)*($AP$9="x"))+(($D15=$D$10)*($AP$10="x"))+(($D15=$D$11)*($AP$11="x")), WORKDAY.INTL(AO15,SUM($AP$4,AP15),1,[1]holidays!AC3:AC16),AO15)</f>
        <v>44994</v>
      </c>
      <c r="AR15" s="30"/>
      <c r="AS15" s="90">
        <f>IF((($D15=$D$8)*($AR$8="x"))+(($D15=$D$9)*($AR$9="x"))+(($D15=$D$10)*($AR$10="x"))+(($D15=$D$11)*($AR$11="x")), WORKDAY.INTL(AQ15,SUM($AR$4,AR15),1,[1]holidays!AE3:AE16),AQ15)</f>
        <v>44994</v>
      </c>
    </row>
    <row r="16" spans="1:45" s="7" customFormat="1">
      <c r="A16"/>
      <c r="B16"/>
      <c r="C16"/>
      <c r="D16" s="104"/>
      <c r="E16" s="105"/>
      <c r="F16" s="105"/>
      <c r="G16" s="105">
        <f>MAX(I16:AAB16)</f>
        <v>0</v>
      </c>
      <c r="H16" s="91"/>
      <c r="I16" s="92"/>
      <c r="J16" s="93"/>
      <c r="K16" s="92"/>
      <c r="L16" s="93"/>
      <c r="M16" s="93"/>
      <c r="N16" s="31"/>
      <c r="O16" s="93"/>
      <c r="Q16" s="22"/>
      <c r="S16" s="22"/>
      <c r="U16" s="22"/>
      <c r="W16" s="22"/>
      <c r="Y16" s="22"/>
      <c r="AA16" s="22"/>
      <c r="AC16" s="22"/>
      <c r="AE16" s="22"/>
      <c r="AG16" s="22"/>
      <c r="AI16" s="22"/>
      <c r="AJ16" s="30"/>
      <c r="AK16" s="22"/>
      <c r="AL16" s="30"/>
      <c r="AM16" s="90">
        <f>IF((($D16=$D$8)*($AL$8="x"))+(($D16=$D$9)*($AL$9="x"))+(($D16=$D$10)*($AL$10="x"))+(($D16=$D$11)*($AL$11="x")), WORKDAY.INTL(AK16,SUM($AL$4,AL16),1,[1]holidays!Y4:Y17),AK16)</f>
        <v>0</v>
      </c>
      <c r="AN16" s="30"/>
      <c r="AO16" s="90">
        <f>IF((($D16=$D$8)*($AN$8="x"))+(($D16=$D$9)*($AN$9="x"))+(($D16=$D$10)*($AN$10="x"))+(($D16=$D$11)*($AN$11="x")), WORKDAY.INTL(AM16,SUM($AN$4,AN16),1,[1]holidays!AA4:AA17),AM16)</f>
        <v>0</v>
      </c>
      <c r="AP16" s="30"/>
      <c r="AQ16" s="90">
        <f>IF((($D16=$D$8)*($AP$8="x"))+(($D16=$D$9)*($AP$9="x"))+(($D16=$D$10)*($AP$10="x"))+(($D16=$D$11)*($AP$11="x")), WORKDAY.INTL(AO16,SUM($AP$4,AP16),1,[1]holidays!AC4:AC17),AO16)</f>
        <v>0</v>
      </c>
      <c r="AR16" s="30"/>
      <c r="AS16" s="90">
        <f>IF((($D16=$D$8)*($AR$8="x"))+(($D16=$D$9)*($AR$9="x"))+(($D16=$D$10)*($AR$10="x"))+(($D16=$D$11)*($AR$11="x")), WORKDAY.INTL(AQ16,SUM($AR$4,AR16),1,[1]holidays!AE4:AE17),AQ16)</f>
        <v>0</v>
      </c>
    </row>
    <row r="17" spans="1:45" s="7" customFormat="1" ht="18.5">
      <c r="B17" s="18"/>
      <c r="C17" s="18"/>
      <c r="D17" s="19"/>
      <c r="E17" s="20"/>
      <c r="F17" s="20"/>
      <c r="G17" s="20">
        <f t="shared" si="0"/>
        <v>0</v>
      </c>
      <c r="H17" s="91"/>
      <c r="I17" s="92"/>
      <c r="J17" s="93"/>
      <c r="K17" s="92"/>
      <c r="L17" s="93"/>
      <c r="M17" s="93"/>
      <c r="N17" s="31"/>
      <c r="O17" s="93"/>
      <c r="Q17" s="22"/>
      <c r="S17" s="22"/>
      <c r="U17" s="22"/>
      <c r="W17" s="22"/>
      <c r="Y17" s="22"/>
      <c r="AA17" s="22"/>
      <c r="AC17" s="22"/>
      <c r="AE17" s="22"/>
      <c r="AG17" s="22"/>
      <c r="AI17" s="22"/>
      <c r="AJ17" s="30"/>
      <c r="AK17" s="22"/>
      <c r="AL17" s="30"/>
      <c r="AM17" s="90"/>
      <c r="AN17" s="30"/>
      <c r="AO17" s="90"/>
      <c r="AP17" s="30"/>
      <c r="AQ17" s="90"/>
      <c r="AR17" s="30"/>
      <c r="AS17" s="90"/>
    </row>
    <row r="18" spans="1:45" s="7" customFormat="1">
      <c r="A18" s="84" t="s">
        <v>8</v>
      </c>
      <c r="B18" s="84" t="s">
        <v>55</v>
      </c>
      <c r="C18" s="84"/>
      <c r="D18" s="19" t="s">
        <v>40</v>
      </c>
      <c r="E18" s="22">
        <v>44945</v>
      </c>
      <c r="F18" s="20">
        <v>44986</v>
      </c>
      <c r="G18" s="20">
        <f t="shared" si="0"/>
        <v>45020</v>
      </c>
      <c r="H18" s="91"/>
      <c r="I18" s="92">
        <f>IF((($D18=$D$8)*($H$8="x"))+(($D18=$D$9)*($H$9="x"))+(($D18=$D$10)*($H$10="x"))+(($D18=$D$11)*($H$11="x")), WORKDAY.INTL(E18,SUM($I$4,H18),1,holidays!A9:A42),E18)</f>
        <v>44949</v>
      </c>
      <c r="J18" s="93"/>
      <c r="K18" s="92">
        <f>IF((($D18=$D$8)*($J$8="x"))+(($D18=$D$9)*($J$9="x"))+(($D18=$D$10)*($J$10="x"))+(($D18=$D$11)*($J$11="x")), WORKDAY.INTL(I18,SUM($J$4,J18,-1),1,holidays!A9:A27),I18)</f>
        <v>44951</v>
      </c>
      <c r="L18" s="93"/>
      <c r="M18" s="93">
        <f>IF((($D18=$D$8)*($L$8="x"))+(($D18=$D$9)*($L$9="x"))+(($D18=$D$10)*($L$10="x"))+(($D18=$D$11)*($L$11="x")), WORKDAY.INTL(K18,SUM($L$4,L18,-1),1,holidays!A$4:A$1503),K18)</f>
        <v>44952</v>
      </c>
      <c r="N18" s="31">
        <v>-1</v>
      </c>
      <c r="O18" s="88">
        <f>IF((($D18=$D$8)*($N$8="x"))+(($D18=$D$9)*($N$9="x"))+(($D18=$D$10)*($N$10="x"))+(($D18=$D$11)*($N$11="x")), WORKDAY.INTL(IF($A18="N",$M18,$F18),SUM($N$4,N18,-1),1,holidays!A$4:A$1503),IF($A18="N",$M18,$F18))</f>
        <v>44986</v>
      </c>
      <c r="P18" s="7">
        <v>-5</v>
      </c>
      <c r="Q18" s="22">
        <f>IF((($D18=$D$8)*($P$8="x"))+(($D18=$D$9)*($P$9="x"))+(($D18=$D$10)*($P$10="x"))+(($D18=$D$11)*($P$11="x")), WORKDAY.INTL(O18,SUM($P$4,P18),1,holidays!A$4:A$1503),O18)</f>
        <v>44994</v>
      </c>
      <c r="S18" s="22">
        <f>IF((($D18=$D$8)*($R$8="x"))+(($D18=$D$9)*($R$9="x"))+(($D18=$D$10)*($R$10="x"))+(($D18=$D$11)*($R$11="x")), WORKDAY.INTL(Q18,SUM($R$4,R18),1,holidays!A$4:A$1503),Q18)</f>
        <v>44998</v>
      </c>
      <c r="U18" s="22">
        <f>IF((($D18=$D$8)*($T$8="x"))+(($D18=$D$9)*($T$9="x"))+(($D18=$D$10)*($T$10="x"))+(($D18=$D$11)*($T$11="x")), WORKDAY.INTL(S18,SUM($T$4,T18),1,holidays!A$4:A$1503),S18)</f>
        <v>45002</v>
      </c>
      <c r="V18" s="7">
        <v>1</v>
      </c>
      <c r="W18" s="22">
        <f>IF((($D18=$D$8)*($V$8="x"))+(($D18=$D$9)*($V$9="x"))+(($D18=$D$10)*($V$10="x"))+(($D18=$D$11)*($V$11="x")), WORKDAY.INTL(U18,SUM($V$4,V18),1,holidays!A$4:A$1503),U18)</f>
        <v>45008</v>
      </c>
      <c r="Y18" s="22">
        <f>IF((($D18=$D$8)*($X$8="x"))+(($D18=$D$9)*($X$9="x"))+(($D18=$D$10)*($X$10="x"))+(($D18=$D$11)*($X$11="x")), WORKDAY.INTL(W18,SUM($X$4,X18),1,holidays!A$4:A$1503),W18)</f>
        <v>45008</v>
      </c>
      <c r="Z18" s="7">
        <v>1</v>
      </c>
      <c r="AA18" s="22">
        <f>IF((($D18=$D$8)*($Z$8="x"))+(($D18=$D$9)*($Z$9="x"))+(($D18=$D$10)*($Z$10="x"))+(($D18=$D$11)*($Z$11="x")), WORKDAY.INTL(Y18,SUM($Z$4,Z18),1,holidays!A$4:A$1503),Y18)</f>
        <v>45009</v>
      </c>
      <c r="AC18" s="22">
        <f>IF((($D18=$D$8)*($AB$8="x"))+(($D18=$D$9)*($AB$9="x"))+(($D18=$D$10)*($AB$10="x"))+(($D18=$D$11)*($AB$11="x")), WORKDAY.INTL(AA18,SUM($AB$4,AB18),1,holidays!A$4:A$1503),AA18)</f>
        <v>45009</v>
      </c>
      <c r="AD18" s="7">
        <v>1</v>
      </c>
      <c r="AE18" s="22">
        <f>IF((($D18=$D$8)*($AD$8="x"))+(($D18=$D$9)*($AD$9="x"))+(($D18=$D$10)*($AD$10="x"))+(($D18=$D$11)*($AD$11="x")), WORKDAY.INTL(AC18,SUM($AD$4,AD18),1,holidays!A$4:A$1503),AC18)</f>
        <v>45009</v>
      </c>
      <c r="AG18" s="22">
        <f>IF((($D18=$D$8)*($AF$8="x"))+(($D18=$D$9)*($AF$9="x"))+(($D18=$D$10)*($AF$10="x"))+(($D18=$D$11)*($AF$11="x")), WORKDAY.INTL(AE18,SUM($AF$4,AF18),1,holidays!A$4:A$1503),AE18)</f>
        <v>45009</v>
      </c>
      <c r="AH18" s="7">
        <v>1</v>
      </c>
      <c r="AI18" s="22">
        <f>IF((($D18=$D$8)*($AH$8="x"))+(($D18=$D$9)*($AH$9="x"))+(($D18=$D$10)*($AH$10="x"))+(($D18=$D$11)*($AH$11="x")), WORKDAY.INTL(AG18,SUM($AH$4,AH18),1,holidays!A$4:A$1503),AG18)</f>
        <v>45009</v>
      </c>
      <c r="AJ18" s="30"/>
      <c r="AK18" s="22">
        <f>IF((($D18=$D$8)*($AJ$8="x"))+(($D18=$D$9)*($AJ$9="x"))+(($D18=$D$10)*($AJ$10="x"))+(($D18=$D$11)*($AJ$11="x")), WORKDAY.INTL(AI18,SUM($AJ$4,AJ18),1,holidays!A$4:A$1503),AI18)</f>
        <v>45020</v>
      </c>
      <c r="AL18" s="30"/>
      <c r="AM18" s="90"/>
      <c r="AN18" s="30"/>
      <c r="AO18" s="90"/>
      <c r="AP18" s="30"/>
      <c r="AQ18" s="90"/>
      <c r="AR18" s="30"/>
      <c r="AS18" s="90"/>
    </row>
    <row r="19" spans="1:45" s="7" customFormat="1" ht="18.5">
      <c r="A19" s="95" t="s">
        <v>8</v>
      </c>
      <c r="B19" s="96" t="s">
        <v>56</v>
      </c>
      <c r="C19" s="96"/>
      <c r="D19" s="19" t="s">
        <v>40</v>
      </c>
      <c r="E19" s="22">
        <v>44945</v>
      </c>
      <c r="F19" s="20">
        <v>44944</v>
      </c>
      <c r="G19" s="20">
        <f t="shared" si="0"/>
        <v>44985</v>
      </c>
      <c r="H19" s="91"/>
      <c r="I19" s="92">
        <f>IF((($D19=$D$8)*($H$8="x"))+(($D19=$D$9)*($H$9="x"))+(($D19=$D$10)*($H$10="x"))+(($D19=$D$11)*($H$11="x")), WORKDAY.INTL(E19,SUM($I$4,H19),1,holidays!A10:A43),E19)</f>
        <v>44949</v>
      </c>
      <c r="J19" s="93"/>
      <c r="K19" s="92">
        <f>IF((($D19=$D$8)*($J$8="x"))+(($D19=$D$9)*($J$9="x"))+(($D19=$D$10)*($J$10="x"))+(($D19=$D$11)*($J$11="x")), WORKDAY.INTL(I19,SUM($J$4,J19,-1),1,holidays!A10:A28),I19)</f>
        <v>44951</v>
      </c>
      <c r="L19" s="93"/>
      <c r="M19" s="93">
        <f>IF((($D19=$D$8)*($L$8="x"))+(($D19=$D$9)*($L$9="x"))+(($D19=$D$10)*($L$10="x"))+(($D19=$D$11)*($L$11="x")), WORKDAY.INTL(K19,SUM($L$4,L19,-1),1,holidays!A$4:A$1503),K19)</f>
        <v>44952</v>
      </c>
      <c r="N19" s="31"/>
      <c r="O19" s="88">
        <f>IF((($D19=$D$8)*($N$8="x"))+(($D19=$D$9)*($N$9="x"))+(($D19=$D$10)*($N$10="x"))+(($D19=$D$11)*($N$11="x")), WORKDAY.INTL(IF($A19="N",$M19,$F19),SUM($N$4,N19,-1),1,holidays!A$4:A$1503),IF($A19="N",$M19,$F19))</f>
        <v>44945</v>
      </c>
      <c r="Q19" s="22">
        <f>IF((($D19=$D$8)*($P$8="x"))+(($D19=$D$9)*($P$9="x"))+(($D19=$D$10)*($P$10="x"))+(($D19=$D$11)*($P$11="x")), WORKDAY.INTL(O19,SUM($P$4,P19),1,holidays!A$4:A$1503),O19)</f>
        <v>44960</v>
      </c>
      <c r="S19" s="22">
        <f>IF((($D19=$D$8)*($R$8="x"))+(($D19=$D$9)*($R$9="x"))+(($D19=$D$10)*($R$10="x"))+(($D19=$D$11)*($R$11="x")), WORKDAY.INTL(Q19,SUM($R$4,R19),1,holidays!A$4:A$1503),Q19)</f>
        <v>44964</v>
      </c>
      <c r="U19" s="22">
        <f>IF((($D19=$D$8)*($T$8="x"))+(($D19=$D$9)*($T$9="x"))+(($D19=$D$10)*($T$10="x"))+(($D19=$D$11)*($T$11="x")), WORKDAY.INTL(S19,SUM($T$4,T19),1,holidays!A$4:A$1503),S19)</f>
        <v>44970</v>
      </c>
      <c r="V19" s="7">
        <v>1</v>
      </c>
      <c r="W19" s="22">
        <f>IF((($D19=$D$8)*($V$8="x"))+(($D19=$D$9)*($V$9="x"))+(($D19=$D$10)*($V$10="x"))+(($D19=$D$11)*($V$11="x")), WORKDAY.INTL(U19,SUM($V$4,V19),1,holidays!A$4:A$1503),U19)</f>
        <v>44973</v>
      </c>
      <c r="Y19" s="22">
        <f>IF((($D19=$D$8)*($X$8="x"))+(($D19=$D$9)*($X$9="x"))+(($D19=$D$10)*($X$10="x"))+(($D19=$D$11)*($X$11="x")), WORKDAY.INTL(W19,SUM($X$4,X19),1,holidays!A$4:A$1503),W19)</f>
        <v>44973</v>
      </c>
      <c r="Z19" s="7">
        <v>1</v>
      </c>
      <c r="AA19" s="22">
        <f>IF((($D19=$D$8)*($Z$8="x"))+(($D19=$D$9)*($Z$9="x"))+(($D19=$D$10)*($Z$10="x"))+(($D19=$D$11)*($Z$11="x")), WORKDAY.INTL(Y19,SUM($Z$4,Z19),1,holidays!A$4:A$1503),Y19)</f>
        <v>44974</v>
      </c>
      <c r="AC19" s="22">
        <f>IF((($D19=$D$8)*($AB$8="x"))+(($D19=$D$9)*($AB$9="x"))+(($D19=$D$10)*($AB$10="x"))+(($D19=$D$11)*($AB$11="x")), WORKDAY.INTL(AA19,SUM($AB$4,AB19),1,holidays!A$4:A$1503),AA19)</f>
        <v>44974</v>
      </c>
      <c r="AD19" s="7">
        <v>1</v>
      </c>
      <c r="AE19" s="22">
        <f>IF((($D19=$D$8)*($AD$8="x"))+(($D19=$D$9)*($AD$9="x"))+(($D19=$D$10)*($AD$10="x"))+(($D19=$D$11)*($AD$11="x")), WORKDAY.INTL(AC19,SUM($AD$4,AD19),1,holidays!A$4:A$1503),AC19)</f>
        <v>44974</v>
      </c>
      <c r="AG19" s="22">
        <f>IF((($D19=$D$8)*($AF$8="x"))+(($D19=$D$9)*($AF$9="x"))+(($D19=$D$10)*($AF$10="x"))+(($D19=$D$11)*($AF$11="x")), WORKDAY.INTL(AE19,SUM($AF$4,AF19),1,holidays!A$4:A$1503),AE19)</f>
        <v>44974</v>
      </c>
      <c r="AH19" s="7">
        <v>1</v>
      </c>
      <c r="AI19" s="22">
        <f>IF((($D19=$D$8)*($AH$8="x"))+(($D19=$D$9)*($AH$9="x"))+(($D19=$D$10)*($AH$10="x"))+(($D19=$D$11)*($AH$11="x")), WORKDAY.INTL(AG19,SUM($AH$4,AH19),1,holidays!A$4:A$1503),AG19)</f>
        <v>44974</v>
      </c>
      <c r="AJ19" s="30"/>
      <c r="AK19" s="22">
        <f>IF((($D19=$D$8)*($AJ$8="x"))+(($D19=$D$9)*($AJ$9="x"))+(($D19=$D$10)*($AJ$10="x"))+(($D19=$D$11)*($AJ$11="x")), WORKDAY.INTL(AI19,SUM($AJ$4,AJ19),1,holidays!A$4:A$1503),AI19)</f>
        <v>44985</v>
      </c>
      <c r="AL19" s="30"/>
      <c r="AM19" s="90"/>
      <c r="AN19" s="30"/>
      <c r="AO19" s="90"/>
      <c r="AP19" s="30"/>
      <c r="AQ19" s="90"/>
      <c r="AR19" s="30"/>
      <c r="AS19" s="90"/>
    </row>
    <row r="20" spans="1:45" ht="15" customHeight="1">
      <c r="A20" s="97"/>
      <c r="B20" s="97"/>
      <c r="C20" s="97"/>
    </row>
    <row r="21" spans="1:45">
      <c r="A21" s="97"/>
      <c r="B21" s="97"/>
      <c r="C21" s="97"/>
    </row>
    <row r="22" spans="1:45">
      <c r="A22" s="97"/>
      <c r="B22" s="97"/>
      <c r="C22" s="97"/>
    </row>
    <row r="23" spans="1:45">
      <c r="A23" s="98"/>
      <c r="B23" s="97"/>
      <c r="C23" s="97"/>
    </row>
    <row r="24" spans="1:45">
      <c r="A24" s="97"/>
      <c r="B24" s="97"/>
      <c r="C24" s="97"/>
    </row>
    <row r="25" spans="1:45">
      <c r="A25" s="97"/>
      <c r="B25" s="97"/>
      <c r="C25" s="97"/>
    </row>
    <row r="26" spans="1:45">
      <c r="A26" s="97"/>
      <c r="B26" s="97"/>
      <c r="C26" s="97"/>
    </row>
    <row r="27" spans="1:45">
      <c r="A27" s="97"/>
      <c r="B27" s="97"/>
      <c r="C27" s="97"/>
    </row>
    <row r="28" spans="1:45">
      <c r="A28" s="97"/>
      <c r="B28" s="97"/>
      <c r="C28" s="97"/>
    </row>
    <row r="29" spans="1:45">
      <c r="A29" s="97"/>
      <c r="B29" s="97"/>
      <c r="C29" s="97"/>
    </row>
    <row r="30" spans="1:45">
      <c r="A30" s="97"/>
      <c r="B30" s="97"/>
      <c r="C30" s="97"/>
    </row>
    <row r="31" spans="1:45" ht="15" customHeight="1">
      <c r="A31" s="97"/>
      <c r="B31" s="97"/>
      <c r="C31" s="97"/>
    </row>
    <row r="32" spans="1:45" ht="15" customHeight="1">
      <c r="A32" s="97"/>
      <c r="B32" s="97"/>
      <c r="C32" s="97"/>
    </row>
    <row r="33" spans="1:3" ht="15" customHeight="1">
      <c r="A33" s="97"/>
      <c r="B33" s="97"/>
      <c r="C33" s="97"/>
    </row>
    <row r="34" spans="1:3" ht="15" customHeight="1">
      <c r="A34" s="97"/>
      <c r="B34" s="97"/>
      <c r="C34" s="97"/>
    </row>
    <row r="35" spans="1:3" ht="15" customHeight="1">
      <c r="A35" s="97"/>
      <c r="B35" s="97"/>
      <c r="C35" s="97"/>
    </row>
    <row r="36" spans="1:3" ht="15" customHeight="1">
      <c r="A36" s="97"/>
      <c r="B36" s="97"/>
      <c r="C36" s="97"/>
    </row>
    <row r="37" spans="1:3" ht="15" customHeight="1">
      <c r="A37" s="97"/>
      <c r="B37" s="97"/>
      <c r="C37" s="97"/>
    </row>
    <row r="38" spans="1:3" ht="15" customHeight="1">
      <c r="A38" s="97"/>
      <c r="B38" s="97"/>
      <c r="C38" s="97"/>
    </row>
    <row r="39" spans="1:3" ht="15" customHeight="1">
      <c r="A39" s="97"/>
      <c r="B39" s="97"/>
      <c r="C39" s="97"/>
    </row>
    <row r="40" spans="1:3" ht="15" customHeight="1">
      <c r="A40" s="97"/>
      <c r="B40" s="97"/>
      <c r="C40" s="97"/>
    </row>
    <row r="41" spans="1:3" ht="15" customHeight="1">
      <c r="A41" s="97"/>
      <c r="B41" s="97"/>
      <c r="C41" s="97"/>
    </row>
    <row r="42" spans="1:3" ht="15" customHeight="1"/>
  </sheetData>
  <mergeCells count="67">
    <mergeCell ref="H9:I9"/>
    <mergeCell ref="J9:K9"/>
    <mergeCell ref="L9:M9"/>
    <mergeCell ref="H10:I10"/>
    <mergeCell ref="J10:K10"/>
    <mergeCell ref="L10:M10"/>
    <mergeCell ref="H11:I11"/>
    <mergeCell ref="J11:K11"/>
    <mergeCell ref="L11:M11"/>
    <mergeCell ref="AN11:AO11"/>
    <mergeCell ref="AP11:AQ11"/>
    <mergeCell ref="AR11:AS11"/>
    <mergeCell ref="AH6:AI6"/>
    <mergeCell ref="AJ6:AK6"/>
    <mergeCell ref="AL6:AM6"/>
    <mergeCell ref="AN6:AO6"/>
    <mergeCell ref="AP6:AQ6"/>
    <mergeCell ref="AR6:AS6"/>
    <mergeCell ref="AR8:AS8"/>
    <mergeCell ref="AN9:AO9"/>
    <mergeCell ref="AP9:AQ9"/>
    <mergeCell ref="AR9:AS9"/>
    <mergeCell ref="AR10:AS10"/>
    <mergeCell ref="AN10:AO10"/>
    <mergeCell ref="AP10:AQ10"/>
    <mergeCell ref="H8:I8"/>
    <mergeCell ref="J8:K8"/>
    <mergeCell ref="L8:M8"/>
    <mergeCell ref="AN8:AO8"/>
    <mergeCell ref="AP8:AQ8"/>
    <mergeCell ref="Z6:AA6"/>
    <mergeCell ref="AB6:AC6"/>
    <mergeCell ref="AD6:AE6"/>
    <mergeCell ref="AF6:AG6"/>
    <mergeCell ref="AN4:AO4"/>
    <mergeCell ref="R6:S6"/>
    <mergeCell ref="T6:U6"/>
    <mergeCell ref="V6:W6"/>
    <mergeCell ref="X6:Y6"/>
    <mergeCell ref="T4:U4"/>
    <mergeCell ref="V4:W4"/>
    <mergeCell ref="R4:S4"/>
    <mergeCell ref="AR4:AS4"/>
    <mergeCell ref="L5:M5"/>
    <mergeCell ref="P5:Q5"/>
    <mergeCell ref="R5:S5"/>
    <mergeCell ref="T5:U5"/>
    <mergeCell ref="V5:W5"/>
    <mergeCell ref="X5:Y5"/>
    <mergeCell ref="Z5:AA5"/>
    <mergeCell ref="AL5:AM5"/>
    <mergeCell ref="AN5:AO5"/>
    <mergeCell ref="AP5:AQ5"/>
    <mergeCell ref="AR5:AS5"/>
    <mergeCell ref="X4:Y4"/>
    <mergeCell ref="Z4:AA4"/>
    <mergeCell ref="AL4:AM4"/>
    <mergeCell ref="AP4:AQ4"/>
    <mergeCell ref="J4:K4"/>
    <mergeCell ref="L4:M4"/>
    <mergeCell ref="N4:O4"/>
    <mergeCell ref="P4:Q4"/>
    <mergeCell ref="H6:I6"/>
    <mergeCell ref="J6:K6"/>
    <mergeCell ref="L6:M6"/>
    <mergeCell ref="N6:O6"/>
    <mergeCell ref="P6:Q6"/>
  </mergeCells>
  <conditionalFormatting sqref="N6 P6 R6 T6 V6 X6 Z6 AB6 AD6 AH6 AJ6 AL6 AN6 AP6 AR6 B13:C14">
    <cfRule type="expression" dxfId="227" priority="18">
      <formula>ROW()=CELL("Row")</formula>
    </cfRule>
  </conditionalFormatting>
  <conditionalFormatting sqref="AM13:AM19 AO13:AO19 AQ13:AQ19 AS13:AS19 Q13:Q19 S13:S19 U13:U19 W13:W19 Y13:Y19 AA13:AA19 AC13:AC19 AE13:AE19 AG13:AG19 AI13:AI19 AK13:AK19 O13:O15 O18:O19">
    <cfRule type="expression" dxfId="226" priority="17">
      <formula>(($D13=$D$8)*($N$8=""))+(($D13=$D$9)*($N$9=""))+(($D13=$D$10)*($N$10=""))+(($D13=$D$11)*($N$11=""))</formula>
    </cfRule>
  </conditionalFormatting>
  <conditionalFormatting sqref="AF6">
    <cfRule type="expression" dxfId="225" priority="16">
      <formula>ROW()=CELL("Row")</formula>
    </cfRule>
  </conditionalFormatting>
  <conditionalFormatting sqref="L6">
    <cfRule type="expression" dxfId="224" priority="15">
      <formula>ROW()=CELL("Row")</formula>
    </cfRule>
  </conditionalFormatting>
  <conditionalFormatting sqref="J6">
    <cfRule type="expression" dxfId="223" priority="14">
      <formula>ROW()=CELL("Row")</formula>
    </cfRule>
  </conditionalFormatting>
  <conditionalFormatting sqref="H6">
    <cfRule type="expression" dxfId="222" priority="13">
      <formula>ROW()=CELL("Row")</formula>
    </cfRule>
  </conditionalFormatting>
  <conditionalFormatting sqref="B17:C17">
    <cfRule type="expression" dxfId="221" priority="12">
      <formula>ROW()=CELL("Row")</formula>
    </cfRule>
  </conditionalFormatting>
  <conditionalFormatting sqref="B15:C15">
    <cfRule type="expression" dxfId="220" priority="11">
      <formula>ROW()=CELL("Row")</formula>
    </cfRule>
  </conditionalFormatting>
  <conditionalFormatting sqref="B19:C19">
    <cfRule type="expression" dxfId="219" priority="10">
      <formula>ROW()=CELL("Row")</formula>
    </cfRule>
  </conditionalFormatting>
  <conditionalFormatting sqref="A23">
    <cfRule type="expression" dxfId="218" priority="9">
      <formula>(($B23=$B$8)*($M$8=""))+(($B23=$B$9)*($M$9=""))+(($B23=$B$10)*($M$10=""))+(($B23=$B$11)*($M$11=""))</formula>
    </cfRule>
  </conditionalFormatting>
  <conditionalFormatting sqref="I13:I103">
    <cfRule type="expression" dxfId="217" priority="8">
      <formula>$A13="C"</formula>
    </cfRule>
  </conditionalFormatting>
  <conditionalFormatting sqref="M13 K13:K103">
    <cfRule type="expression" dxfId="216" priority="7">
      <formula>$A13="C"</formula>
    </cfRule>
  </conditionalFormatting>
  <conditionalFormatting sqref="M20:M103">
    <cfRule type="expression" dxfId="215" priority="6">
      <formula>$A20="C"</formula>
    </cfRule>
  </conditionalFormatting>
  <conditionalFormatting sqref="M13:M131">
    <cfRule type="expression" dxfId="214" priority="5">
      <formula>$A13="C"</formula>
    </cfRule>
  </conditionalFormatting>
  <conditionalFormatting sqref="O16:O17">
    <cfRule type="expression" dxfId="213" priority="4">
      <formula>$A16="C"</formula>
    </cfRule>
  </conditionalFormatting>
  <conditionalFormatting sqref="M13:M106">
    <cfRule type="expression" dxfId="212" priority="3">
      <formula>$A13="C"</formula>
    </cfRule>
  </conditionalFormatting>
  <conditionalFormatting sqref="G13:AN15 G17:AN21 H16:AN16">
    <cfRule type="cellIs" dxfId="211" priority="2" operator="equal">
      <formula>0</formula>
    </cfRule>
  </conditionalFormatting>
  <conditionalFormatting sqref="G16">
    <cfRule type="cellIs" dxfId="210" priority="1" operator="equal">
      <formula>0</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53EAE-7B28-4556-9203-06CF7EACFF18}">
  <sheetPr codeName="Sheet4"/>
  <dimension ref="A1:BA14"/>
  <sheetViews>
    <sheetView showGridLines="0" workbookViewId="0">
      <selection activeCell="W5" sqref="W5"/>
    </sheetView>
  </sheetViews>
  <sheetFormatPr defaultRowHeight="14.5"/>
  <cols>
    <col min="1" max="1" width="29.1796875" bestFit="1" customWidth="1"/>
    <col min="2" max="2" width="3.54296875" bestFit="1" customWidth="1"/>
    <col min="3" max="3" width="12.54296875" bestFit="1" customWidth="1"/>
    <col min="4" max="4" width="15.81640625" bestFit="1" customWidth="1"/>
    <col min="6" max="6" width="11.453125" bestFit="1" customWidth="1"/>
    <col min="8" max="8" width="12.26953125" bestFit="1" customWidth="1"/>
    <col min="10" max="10" width="11.453125" bestFit="1" customWidth="1"/>
    <col min="12" max="12" width="10.453125" bestFit="1" customWidth="1"/>
    <col min="14" max="14" width="11.54296875" customWidth="1"/>
    <col min="16" max="16" width="10.453125" bestFit="1" customWidth="1"/>
    <col min="18" max="18" width="10.453125" bestFit="1" customWidth="1"/>
    <col min="20" max="20" width="10.453125" bestFit="1" customWidth="1"/>
    <col min="22" max="22" width="10.453125" bestFit="1" customWidth="1"/>
    <col min="24" max="24" width="10.453125" bestFit="1" customWidth="1"/>
    <col min="26" max="26" width="10.453125" bestFit="1" customWidth="1"/>
    <col min="28" max="28" width="10.453125" bestFit="1" customWidth="1"/>
    <col min="30" max="30" width="10.453125" bestFit="1" customWidth="1"/>
    <col min="32" max="32" width="10.453125" bestFit="1" customWidth="1"/>
    <col min="34" max="34" width="10.453125" bestFit="1" customWidth="1"/>
    <col min="36" max="36" width="10.453125" bestFit="1" customWidth="1"/>
    <col min="38" max="38" width="10.453125" bestFit="1" customWidth="1"/>
    <col min="40" max="40" width="87.1796875" bestFit="1" customWidth="1"/>
    <col min="43" max="45" width="7.54296875" bestFit="1" customWidth="1"/>
    <col min="46" max="46" width="16.1796875" bestFit="1" customWidth="1"/>
    <col min="47" max="47" width="1.54296875" bestFit="1" customWidth="1"/>
    <col min="48" max="48" width="11.453125" bestFit="1" customWidth="1"/>
    <col min="49" max="49" width="9.81640625" bestFit="1" customWidth="1"/>
    <col min="50" max="50" width="9.453125" bestFit="1" customWidth="1"/>
    <col min="51" max="51" width="12.26953125" bestFit="1" customWidth="1"/>
    <col min="52" max="52" width="13.453125" bestFit="1" customWidth="1"/>
    <col min="53" max="53" width="9.26953125" bestFit="1" customWidth="1"/>
  </cols>
  <sheetData>
    <row r="1" spans="1:53">
      <c r="C1" s="8" t="s">
        <v>24</v>
      </c>
      <c r="E1" s="202">
        <v>2</v>
      </c>
      <c r="F1" s="202"/>
      <c r="G1" s="202">
        <v>11</v>
      </c>
      <c r="H1" s="202"/>
      <c r="I1" s="202">
        <v>1</v>
      </c>
      <c r="J1" s="202"/>
      <c r="K1" s="202">
        <v>5</v>
      </c>
      <c r="L1" s="202"/>
      <c r="M1" s="202">
        <v>0.5</v>
      </c>
      <c r="N1" s="202"/>
      <c r="O1" s="202">
        <v>0.5</v>
      </c>
      <c r="P1" s="202"/>
      <c r="Q1" s="202">
        <v>0.5</v>
      </c>
      <c r="R1" s="202"/>
      <c r="S1" s="202">
        <v>0.5</v>
      </c>
      <c r="T1" s="202"/>
      <c r="U1" s="202">
        <v>0.5</v>
      </c>
      <c r="V1" s="202"/>
      <c r="W1" s="202">
        <v>0.5</v>
      </c>
      <c r="X1" s="202"/>
      <c r="Y1" s="202">
        <v>5</v>
      </c>
      <c r="Z1" s="202"/>
      <c r="AA1" s="202">
        <v>0.5</v>
      </c>
      <c r="AB1" s="202"/>
      <c r="AC1" s="202"/>
      <c r="AD1" s="202"/>
      <c r="AE1" s="202"/>
      <c r="AF1" s="202"/>
      <c r="AG1" s="202"/>
      <c r="AH1" s="202"/>
      <c r="AI1" s="202"/>
      <c r="AJ1" s="202"/>
      <c r="AK1" s="202"/>
      <c r="AL1" s="202"/>
      <c r="AM1" s="230"/>
      <c r="AN1" s="230"/>
    </row>
    <row r="2" spans="1:53" s="28" customFormat="1" ht="15" thickBot="1">
      <c r="C2" s="29" t="s">
        <v>25</v>
      </c>
      <c r="F2" s="28">
        <v>16</v>
      </c>
      <c r="G2" s="210">
        <v>88</v>
      </c>
      <c r="H2" s="210"/>
      <c r="I2" s="210">
        <v>8</v>
      </c>
      <c r="J2" s="210"/>
      <c r="K2" s="210">
        <v>40</v>
      </c>
      <c r="L2" s="210"/>
      <c r="M2" s="210">
        <v>0.25</v>
      </c>
      <c r="N2" s="210"/>
      <c r="O2" s="210">
        <v>0.25</v>
      </c>
      <c r="P2" s="210"/>
      <c r="Q2" s="210">
        <v>0.25</v>
      </c>
      <c r="R2" s="210"/>
      <c r="S2" s="210">
        <v>0.12</v>
      </c>
      <c r="T2" s="210"/>
      <c r="U2" s="210">
        <v>0.25</v>
      </c>
      <c r="V2" s="210"/>
      <c r="W2" s="210">
        <v>0.25</v>
      </c>
      <c r="X2" s="210"/>
      <c r="Y2" s="210">
        <v>40</v>
      </c>
      <c r="Z2" s="210"/>
      <c r="AA2" s="210">
        <v>3</v>
      </c>
      <c r="AB2" s="210"/>
      <c r="AC2" s="210"/>
      <c r="AD2" s="210"/>
      <c r="AE2" s="210"/>
      <c r="AF2" s="210"/>
      <c r="AG2" s="210"/>
      <c r="AH2" s="210"/>
      <c r="AI2" s="210"/>
      <c r="AJ2" s="210"/>
      <c r="AK2" s="210"/>
      <c r="AL2" s="210"/>
      <c r="AM2" s="211"/>
      <c r="AN2" s="211"/>
      <c r="AQ2" s="231" t="s">
        <v>57</v>
      </c>
      <c r="AR2" s="231"/>
      <c r="AS2" s="231"/>
      <c r="AT2" s="231"/>
      <c r="AU2" s="231"/>
      <c r="AV2" s="231"/>
      <c r="AW2" s="231"/>
      <c r="AX2" s="231"/>
      <c r="AY2" s="231"/>
      <c r="AZ2" s="231"/>
      <c r="BA2" s="231"/>
    </row>
    <row r="3" spans="1:53" ht="16.5" thickTop="1" thickBot="1">
      <c r="C3" s="8" t="s">
        <v>26</v>
      </c>
      <c r="E3" s="206" t="str">
        <f>Content!Y9</f>
        <v>Patterns</v>
      </c>
      <c r="F3" s="207"/>
      <c r="G3" s="208" t="str">
        <f>Content!Z9</f>
        <v>React</v>
      </c>
      <c r="H3" s="209"/>
      <c r="I3" s="208" t="str">
        <f>Content!AA9</f>
        <v>React / Testing / Jest</v>
      </c>
      <c r="J3" s="209"/>
      <c r="K3" s="232" t="str">
        <f>Content!AD9</f>
        <v>React Labs 1</v>
      </c>
      <c r="L3" s="207"/>
      <c r="M3" s="208" t="str">
        <f>Content!AE9</f>
        <v>React Labs 2</v>
      </c>
      <c r="N3" s="209"/>
      <c r="O3" s="208" t="str">
        <f>Content!AF9</f>
        <v>React Labs 3</v>
      </c>
      <c r="P3" s="209"/>
      <c r="Q3" s="208" t="str">
        <f>Content!AG9</f>
        <v>React Labs 4</v>
      </c>
      <c r="R3" s="209"/>
      <c r="S3" s="208" t="str">
        <f>Content!AH9</f>
        <v>React Labs 5</v>
      </c>
      <c r="T3" s="209"/>
      <c r="U3" s="208" t="str">
        <f>Content!AI9</f>
        <v>React Labs 6</v>
      </c>
      <c r="V3" s="209"/>
      <c r="W3" s="208" t="e">
        <f>Content!#REF!</f>
        <v>#REF!</v>
      </c>
      <c r="X3" s="209"/>
      <c r="Y3" s="208" t="e">
        <f>Content!#REF!</f>
        <v>#REF!</v>
      </c>
      <c r="Z3" s="209"/>
      <c r="AA3" s="237" t="e">
        <f>Content!#REF!</f>
        <v>#REF!</v>
      </c>
      <c r="AB3" s="237"/>
      <c r="AC3" s="235" t="e">
        <f>Content!#REF!</f>
        <v>#REF!</v>
      </c>
      <c r="AD3" s="236"/>
      <c r="AE3" s="208"/>
      <c r="AF3" s="209"/>
      <c r="AG3" s="208"/>
      <c r="AH3" s="209"/>
      <c r="AI3" s="208"/>
      <c r="AJ3" s="209"/>
      <c r="AK3" s="235"/>
      <c r="AL3" s="236"/>
      <c r="AM3" s="11"/>
      <c r="AN3" s="12"/>
      <c r="AQ3" s="13" t="s">
        <v>58</v>
      </c>
      <c r="AR3" s="13" t="s">
        <v>58</v>
      </c>
      <c r="AS3" s="13" t="s">
        <v>58</v>
      </c>
      <c r="AT3" s="13" t="s">
        <v>59</v>
      </c>
      <c r="AU3" s="13" t="s">
        <v>60</v>
      </c>
      <c r="AV3" s="13" t="s">
        <v>61</v>
      </c>
      <c r="AW3" s="13" t="s">
        <v>62</v>
      </c>
      <c r="AX3" s="13" t="s">
        <v>63</v>
      </c>
      <c r="AY3" s="13" t="s">
        <v>64</v>
      </c>
      <c r="AZ3" s="13" t="s">
        <v>65</v>
      </c>
      <c r="BA3" s="13" t="s">
        <v>66</v>
      </c>
    </row>
    <row r="4" spans="1:53" ht="15" thickBot="1">
      <c r="C4" s="10" t="s">
        <v>31</v>
      </c>
      <c r="F4" s="9" t="s">
        <v>32</v>
      </c>
      <c r="G4" s="9"/>
      <c r="H4" s="9" t="s">
        <v>33</v>
      </c>
      <c r="I4" s="9"/>
      <c r="J4" s="9" t="s">
        <v>34</v>
      </c>
      <c r="K4" s="9"/>
      <c r="L4" s="9" t="s">
        <v>35</v>
      </c>
      <c r="M4" s="9"/>
      <c r="N4" s="9" t="s">
        <v>34</v>
      </c>
      <c r="O4" s="9"/>
      <c r="P4" s="9" t="s">
        <v>36</v>
      </c>
      <c r="Q4" s="9"/>
      <c r="R4" s="9" t="s">
        <v>37</v>
      </c>
      <c r="S4" s="9"/>
      <c r="T4" s="9" t="s">
        <v>38</v>
      </c>
      <c r="U4" s="9"/>
      <c r="V4" s="9" t="s">
        <v>36</v>
      </c>
      <c r="W4" s="9"/>
      <c r="X4" s="9" t="s">
        <v>67</v>
      </c>
      <c r="Y4" s="9"/>
      <c r="Z4" s="9" t="s">
        <v>38</v>
      </c>
      <c r="AA4" s="9"/>
      <c r="AB4" s="9" t="s">
        <v>68</v>
      </c>
      <c r="AC4" s="9"/>
      <c r="AD4" s="9" t="s">
        <v>37</v>
      </c>
      <c r="AE4" s="9"/>
      <c r="AF4" s="9" t="s">
        <v>39</v>
      </c>
      <c r="AG4" s="9"/>
      <c r="AH4" s="9" t="s">
        <v>39</v>
      </c>
      <c r="AI4" s="9"/>
      <c r="AJ4" s="9" t="s">
        <v>36</v>
      </c>
      <c r="AK4" s="9"/>
      <c r="AL4" s="9" t="s">
        <v>68</v>
      </c>
      <c r="AM4" s="9"/>
      <c r="AN4" s="14"/>
      <c r="AQ4" t="s">
        <v>69</v>
      </c>
      <c r="AR4" t="s">
        <v>69</v>
      </c>
      <c r="AS4" t="s">
        <v>69</v>
      </c>
      <c r="AT4" t="s">
        <v>70</v>
      </c>
      <c r="AV4" t="s">
        <v>71</v>
      </c>
      <c r="AW4" t="s">
        <v>72</v>
      </c>
      <c r="AX4" t="s">
        <v>36</v>
      </c>
      <c r="AY4" t="s">
        <v>73</v>
      </c>
      <c r="AZ4" t="s">
        <v>74</v>
      </c>
      <c r="BA4">
        <v>4</v>
      </c>
    </row>
    <row r="5" spans="1:53" s="15" customFormat="1" ht="15.5">
      <c r="B5" s="26" t="s">
        <v>40</v>
      </c>
      <c r="C5" s="26">
        <f>SUM(IF(E5="x",$F$2,0)+IF(G5="x",$G$2,0)+IF(I5="x",$I$2,0)+IF(K5="x",$K$2,0)+IF(M5="x",$M$2,0)+IF(O5="x",$O$2,0)+IF(Q5="x",$Q$2,0)+IF(S5="x",$S$2,0)+IF(U5="x",$U$2,0)+IF(W5="x",$W$2,0)+IF(Y5="x",$Y$2,0)+IF(AA5="x",$AA$2,0)+IF(AC5="x",$AC$2,0)+IF(AE5="x",$AE$2,0)+IF(AG5="x",$AG$2,0)+IF(AI5="x",$AI$2,0)+IF(AK5="x",$AK$2,0)+IF(AM5="x",#REF!,0)+IF(AN5="x",$AM$2,0))</f>
        <v>195.5</v>
      </c>
      <c r="D5" s="27"/>
      <c r="E5" s="16" t="s">
        <v>41</v>
      </c>
      <c r="F5" s="25"/>
      <c r="G5" s="16" t="s">
        <v>41</v>
      </c>
      <c r="H5" s="25"/>
      <c r="I5" s="16" t="s">
        <v>41</v>
      </c>
      <c r="J5" s="25"/>
      <c r="K5" s="16" t="s">
        <v>41</v>
      </c>
      <c r="L5" s="25"/>
      <c r="M5" s="16" t="s">
        <v>41</v>
      </c>
      <c r="N5" s="25"/>
      <c r="O5" s="16"/>
      <c r="P5" s="25"/>
      <c r="Q5" s="16"/>
      <c r="R5" s="25"/>
      <c r="S5" s="16"/>
      <c r="T5" s="25"/>
      <c r="U5" s="16"/>
      <c r="V5" s="25"/>
      <c r="W5" s="16" t="s">
        <v>41</v>
      </c>
      <c r="X5" s="25"/>
      <c r="Y5" s="16" t="s">
        <v>41</v>
      </c>
      <c r="Z5" s="25"/>
      <c r="AA5" s="16" t="s">
        <v>41</v>
      </c>
      <c r="AB5" s="25"/>
      <c r="AC5" s="16"/>
      <c r="AD5" s="25"/>
      <c r="AE5" s="223"/>
      <c r="AF5" s="222"/>
      <c r="AG5" s="223"/>
      <c r="AH5" s="222"/>
      <c r="AI5" s="223"/>
      <c r="AJ5" s="222"/>
      <c r="AK5" s="223"/>
      <c r="AL5" s="222"/>
      <c r="AM5" s="233"/>
      <c r="AN5" s="234"/>
      <c r="AO5"/>
      <c r="AP5"/>
    </row>
    <row r="6" spans="1:53" s="15" customFormat="1" ht="15.5">
      <c r="B6" s="26" t="s">
        <v>42</v>
      </c>
      <c r="C6" s="26">
        <f>SUM(IF(E6="x",$F$2,0)+IF(G6="x",$G$2,0)+IF(I6="x",$I$2,0)+IF(L6="x",$K$2,0)+IF(M6="x",$M$2,0)+IF(P6="x",$O$2,0)+IF(Q6="x",$Q$2,0)+IF(S6="x",$S$2,0)+IF(U6="x",$U$2,0)+IF(W6="x",$W$2,0)+IF(Y6="x",$Y$2,0)+IF(AB6="x",$AA$2,0)+IF(AD6="x",$AC$2,0)+IF(AF6="x",$AE$2,0)+IF(AH6="x",$AG$2,0)+IF(AJ6="x",$AI$2,0)+IF(AL6="x",$AK$2,0)+IF(AM6="x",#REF!,0)+IF(AN6="x",$AM$2,0))</f>
        <v>152.75</v>
      </c>
      <c r="D6" s="27"/>
      <c r="E6" s="16" t="s">
        <v>41</v>
      </c>
      <c r="F6" s="25"/>
      <c r="G6" s="16" t="s">
        <v>41</v>
      </c>
      <c r="H6" s="25"/>
      <c r="I6" s="16" t="s">
        <v>41</v>
      </c>
      <c r="J6" s="25"/>
      <c r="K6" s="16" t="s">
        <v>41</v>
      </c>
      <c r="L6" s="25"/>
      <c r="M6" s="16" t="s">
        <v>41</v>
      </c>
      <c r="N6" s="25"/>
      <c r="O6" s="16" t="s">
        <v>41</v>
      </c>
      <c r="P6" s="25"/>
      <c r="Q6" s="16" t="s">
        <v>41</v>
      </c>
      <c r="R6" s="25"/>
      <c r="S6" s="16"/>
      <c r="T6" s="25"/>
      <c r="U6" s="16"/>
      <c r="V6" s="25"/>
      <c r="W6" s="16" t="s">
        <v>41</v>
      </c>
      <c r="X6" s="25"/>
      <c r="Y6" s="16" t="s">
        <v>41</v>
      </c>
      <c r="Z6" s="25"/>
      <c r="AA6" s="16" t="s">
        <v>41</v>
      </c>
      <c r="AB6" s="25"/>
      <c r="AC6" s="16"/>
      <c r="AD6" s="25"/>
      <c r="AE6" s="223"/>
      <c r="AF6" s="222"/>
      <c r="AG6" s="223"/>
      <c r="AH6" s="222"/>
      <c r="AI6" s="223"/>
      <c r="AJ6" s="222"/>
      <c r="AK6" s="223"/>
      <c r="AL6" s="222"/>
      <c r="AM6" s="223"/>
      <c r="AN6" s="222"/>
      <c r="AO6"/>
      <c r="AP6"/>
    </row>
    <row r="7" spans="1:53" s="15" customFormat="1" ht="15.5">
      <c r="B7" s="26" t="s">
        <v>43</v>
      </c>
      <c r="C7" s="26">
        <f>SUM(IF(F7="x",$F$2,0)+IF(H7="x",$G$2,0)+IF(J7="x",$I$2,0)+IF(L7="x",$K$2,0)+IF(N7="x",$M$2,0)+IF(P7="x",$O$2,0)+IF(Q7="x",$Q$2,0)+IF(S7="x",$S$2,0)+IF(U7="x",$U$2,0)+IF(W7="x",$W$2,0)+IF(Y7="x",$Y$2,0)+IF(AA7="x",$AA$2,0)+IF(AC7="x",$AC$2,0)+IF(AE7="x",$AE$2,0)+IF(AG7="x",$AG$2,0)+IF(AI7="x",$AI$2,0)+IF(AL7="x",$AK$2,0)+IF(AM7="x",#REF!,0)+IF(AN7="x",$AM$2,0))</f>
        <v>43.62</v>
      </c>
      <c r="D7" s="27"/>
      <c r="E7" s="16" t="s">
        <v>41</v>
      </c>
      <c r="F7" s="25"/>
      <c r="G7" s="16"/>
      <c r="H7" s="25"/>
      <c r="I7" s="16" t="s">
        <v>41</v>
      </c>
      <c r="J7" s="25"/>
      <c r="K7" s="16"/>
      <c r="L7" s="25"/>
      <c r="M7" s="16"/>
      <c r="N7" s="25"/>
      <c r="O7" s="16" t="s">
        <v>41</v>
      </c>
      <c r="P7" s="25"/>
      <c r="Q7" s="16" t="s">
        <v>41</v>
      </c>
      <c r="R7" s="25"/>
      <c r="S7" s="16" t="s">
        <v>41</v>
      </c>
      <c r="T7" s="25"/>
      <c r="U7" s="16" t="s">
        <v>41</v>
      </c>
      <c r="V7" s="25"/>
      <c r="W7" s="16"/>
      <c r="X7" s="25"/>
      <c r="Y7" s="16" t="s">
        <v>41</v>
      </c>
      <c r="Z7" s="25"/>
      <c r="AA7" s="16" t="s">
        <v>41</v>
      </c>
      <c r="AB7" s="25"/>
      <c r="AC7" s="16"/>
      <c r="AD7" s="25"/>
      <c r="AE7" s="223"/>
      <c r="AF7" s="222"/>
      <c r="AG7" s="223"/>
      <c r="AH7" s="222"/>
      <c r="AI7" s="223"/>
      <c r="AJ7" s="222"/>
      <c r="AK7" s="223"/>
      <c r="AL7" s="222"/>
      <c r="AM7" s="223"/>
      <c r="AN7" s="222"/>
      <c r="AO7"/>
      <c r="AP7"/>
    </row>
    <row r="8" spans="1:53" s="15" customFormat="1" ht="15.5">
      <c r="B8" s="26" t="s">
        <v>44</v>
      </c>
      <c r="C8" s="26">
        <f>SUM(IF(F8="x",$F$2,0)+IF(H8="x",$G$2,0)+IF(J8="x",$I$2,0)+IF(L8="x",$K$2,0)+IF(N8="x",$M$2,0)+IF(P8="x",$O$2,0)+IF(Q8="x",$Q$2,0)+IF(S8="x",$S$2,0)+IF(U8="x",$U$2,0)+IF(W8="x",$W$2,0)+IF(Y8="x",$Y$2,0)+IF(AA8="x",$AA$2,0)+IF(AC8="x",$AC$2,0)+IF(AE8="x",$AE$2,0)+IF(AG8="x",$AG$2,0)+IF(AI8="x",$AI$2,0)+IF(AL8="x",$AK$2,0)+IF(AM8="x",#REF!,0)+IF(AN8="x",$AM$2,0))</f>
        <v>43.62</v>
      </c>
      <c r="D8" s="27"/>
      <c r="E8" s="16" t="s">
        <v>41</v>
      </c>
      <c r="F8" s="25"/>
      <c r="G8" s="16"/>
      <c r="H8" s="25"/>
      <c r="I8" s="16" t="s">
        <v>41</v>
      </c>
      <c r="J8" s="25"/>
      <c r="K8" s="16"/>
      <c r="L8" s="25"/>
      <c r="M8" s="16"/>
      <c r="N8" s="25"/>
      <c r="O8" s="16" t="s">
        <v>41</v>
      </c>
      <c r="P8" s="25"/>
      <c r="Q8" s="16" t="s">
        <v>41</v>
      </c>
      <c r="R8" s="25"/>
      <c r="S8" s="16" t="s">
        <v>41</v>
      </c>
      <c r="T8" s="25"/>
      <c r="U8" s="16" t="s">
        <v>41</v>
      </c>
      <c r="V8" s="25"/>
      <c r="W8" s="16"/>
      <c r="X8" s="25"/>
      <c r="Y8" s="16" t="s">
        <v>41</v>
      </c>
      <c r="Z8" s="25"/>
      <c r="AA8" s="16" t="s">
        <v>41</v>
      </c>
      <c r="AB8" s="25"/>
      <c r="AC8" s="16"/>
      <c r="AD8" s="25"/>
      <c r="AE8" s="223"/>
      <c r="AF8" s="222"/>
      <c r="AG8" s="223"/>
      <c r="AH8" s="222"/>
      <c r="AI8" s="223"/>
      <c r="AJ8" s="222"/>
      <c r="AK8" s="223"/>
      <c r="AL8" s="222"/>
      <c r="AM8" s="223"/>
      <c r="AN8" s="222"/>
      <c r="AO8"/>
      <c r="AP8"/>
    </row>
    <row r="9" spans="1:53">
      <c r="B9" t="s">
        <v>45</v>
      </c>
      <c r="C9" s="17" t="s">
        <v>46</v>
      </c>
      <c r="D9" s="17" t="s">
        <v>47</v>
      </c>
      <c r="E9" s="17" t="s">
        <v>49</v>
      </c>
      <c r="F9" s="17" t="s">
        <v>50</v>
      </c>
      <c r="G9" s="17" t="s">
        <v>49</v>
      </c>
      <c r="H9" s="17" t="s">
        <v>50</v>
      </c>
      <c r="I9" s="17" t="s">
        <v>49</v>
      </c>
      <c r="J9" s="17" t="s">
        <v>50</v>
      </c>
      <c r="K9" s="17" t="s">
        <v>49</v>
      </c>
      <c r="L9" s="17" t="s">
        <v>50</v>
      </c>
      <c r="M9" s="17" t="s">
        <v>49</v>
      </c>
      <c r="N9" s="17" t="s">
        <v>50</v>
      </c>
      <c r="O9" s="17" t="s">
        <v>49</v>
      </c>
      <c r="P9" s="17" t="s">
        <v>50</v>
      </c>
      <c r="Q9" s="17" t="s">
        <v>49</v>
      </c>
      <c r="R9" s="17" t="s">
        <v>50</v>
      </c>
      <c r="S9" s="17" t="s">
        <v>49</v>
      </c>
      <c r="T9" s="17" t="s">
        <v>50</v>
      </c>
      <c r="U9" s="17"/>
    </row>
    <row r="10" spans="1:53" s="7" customFormat="1" ht="18.5">
      <c r="A10" s="18" t="e">
        <f>#REF!</f>
        <v>#REF!</v>
      </c>
      <c r="B10" s="19" t="s">
        <v>40</v>
      </c>
      <c r="C10" s="20" t="e">
        <f>#REF!</f>
        <v>#REF!</v>
      </c>
      <c r="D10" s="20">
        <v>44908</v>
      </c>
      <c r="E10" s="21"/>
      <c r="F10" s="22">
        <f>IF((($B10=$B$5)*($E$5="x"))+(($B10=$B$6)*($E$6="x"))+(($B10=$B$7)*($E$7="x"))+(($B10=$B$8)*($E$8="x")), WORKDAY.INTL(D10,SUM($E$1,E10,-1),1,holidays!A4:A22),D10)</f>
        <v>44909</v>
      </c>
      <c r="H10" s="22">
        <f>IF((($B10=$B$5)*($G$5="x"))+(($B10=$B$6)*($G$6="x"))+(($B10=$B$7)*($G$7="x"))+(($B10=$B$8)*($G$8="x")), WORKDAY.INTL(F10,SUM($G$1,G10),1,holidays!A4:A25),F10)</f>
        <v>44932</v>
      </c>
      <c r="I10" s="22" t="e">
        <f>IF(((C10=$B$5)*($G$5="x"))+((C10=$B$6)*($G$6="x"))+((C10=$B$7)*($G$7="x"))+((C10=$B$8)*($G$8="x")), WORKDAY.INTL(G10,SUM($G$1,H10),1,[1]holidays!B1:B14),"")</f>
        <v>#REF!</v>
      </c>
      <c r="J10" s="22" t="e">
        <f>IF((($B10=$B$5)*($I$5="x"))+(($B10=$B$6)*($I$6="x"))+(($B10=$B$7)*($I$7="x"))+(($B10=$B$8)*($I$8="x")), WORKDAY.INTL(H10,SUM($I$1,I10),1,[1]holidays!E1:E14),H10)</f>
        <v>#REF!</v>
      </c>
      <c r="L10" s="22" t="e">
        <f>IF((($B10=$B$5)*($K$5="x"))+(($B10=$B$6)*($K$6="x"))+(($B10=$B$7)*($K$7="x"))+(($B10=$B$8)*($K$8="x")), WORKDAY.INTL(J10,SUM($K$1,K10),1,[1]holidays!G1:G14),J10)</f>
        <v>#REF!</v>
      </c>
      <c r="N10" s="22" t="e">
        <f>IF((($B10=$B$5)*($M$5="x"))+(($B10=$B$6)*($M$6="x"))+(($B10=$B$7)*($M$7="x"))+(($B10=$B$8)*($M$8="x")), WORKDAY.INTL(L10,SUM($M$1,M10),1,[1]holidays!I1:I14),L10)</f>
        <v>#REF!</v>
      </c>
      <c r="P10" s="22" t="e">
        <f>IF((($B10=$B$5)*($O$5="x"))+(($B10=$B$6)*($O$6="x"))+(($B10=$B$7)*($O$7="x"))+(($B10=$B$8)*($O$8="x")), WORKDAY.INTL(N10,SUM($O$1,O10),1,[1]holidays!K1:K14),N10)</f>
        <v>#REF!</v>
      </c>
      <c r="R10" s="22" t="e">
        <f>IF((($B10=$B$5)*($Q$5="x"))+(($B10=$B$6)*($Q$6="x"))+(($B10=$B$7)*($Q$7="x"))+(($B10=$B$8)*($Q$8="x")), WORKDAY.INTL(P10,SUM($Q$1,Q10),1,[1]holidays!M1:M14),P10)</f>
        <v>#REF!</v>
      </c>
      <c r="T10" s="22" t="e">
        <f>IF((($B10=$B$5)*($S$5="x"))+(($B10=$B$6)*($S$6="x"))+(($B10=$B$7)*($S$7="x"))+(($B10=$B$8)*($S$8="x")), WORKDAY.INTL(R10,SUM($S$1,S10),1,[1]holidays!O1:O14),R10)</f>
        <v>#REF!</v>
      </c>
      <c r="V10" s="22" t="e">
        <f>IF((($B10=$B$5)*($U$5="x"))+(($B10=$B$6)*($U$6="x"))+(($B10=$B$7)*($U$7="x"))+(($B10=$B$8)*($U$8="x")), WORKDAY.INTL(T10,SUM($U$1,U10),1,[1]holidays!Q1:Q14),T10)</f>
        <v>#REF!</v>
      </c>
      <c r="X10" s="22" t="e">
        <f>IF((($B10=$B$5)*($W$5="x"))+(($B10=$B$6)*($W$6="x"))+(($B10=$B$7)*($W$7="x"))+(($B10=$B$8)*($W$8="x")), WORKDAY.INTL(V10,SUM($W$1,W10),1,[1]holidays!S1:S14),V10)</f>
        <v>#REF!</v>
      </c>
      <c r="Z10" s="22" t="e">
        <f>IF((($B10=$B$5)*($Y$5="x"))+(($B10=$B$6)*($Y$6="x"))+(($B10=$B$7)*($Y$7="x"))+(($B10=$B$8)*($Y$8="x")), WORKDAY.INTL(X10,SUM($Y$1,Y10),1,[1]holidays!U1:U14),X10)</f>
        <v>#REF!</v>
      </c>
      <c r="AB10" s="22" t="e">
        <f>IF((($B10=$B$5)*($AA$5="x"))+(($B10=$B$6)*($AA$6="x"))+(($B10=$B$7)*($AA$7="x"))+(($B10=$B$8)*($AA$8="x")), WORKDAY.INTL(Z10,SUM($AA$1,AA10),1,[1]holidays!W1:W14),Z10)</f>
        <v>#REF!</v>
      </c>
      <c r="AD10" s="22" t="e">
        <f>IF((($B10=$B$5)*($AC$5="x"))+(($B10=$B$6)*($AC$6="x"))+(($B10=$B$7)*($AC$7="x"))+(($B10=$B$8)*($AC$8="x")), WORKDAY.INTL(AB10,SUM($AC$1,AC10),1,[1]holidays!Y1:Y14),AB10)</f>
        <v>#REF!</v>
      </c>
      <c r="AF10" s="22" t="e">
        <f>IF((($B10=$B$5)*($AE$5="x"))+(($B10=$B$6)*($AE$6="x"))+(($B10=$B$7)*($AE$7="x"))+(($B10=$B$8)*($AE$8="x")), WORKDAY.INTL(AD10,SUM($AE$1,AE10),1,[1]holidays!AA1:AA14),AD10)</f>
        <v>#REF!</v>
      </c>
      <c r="AH10" s="22" t="e">
        <f>IF((($B10=$B$5)*($AG$5="x"))+(($B10=$B$6)*($AG$6="x"))+(($B10=$B$7)*($AG$7="x"))+(($B10=$B$8)*($AG$8="x")), WORKDAY.INTL(AF10,SUM($AG$1,AG10),1,[1]holidays!AC1:AC14),AF10)</f>
        <v>#REF!</v>
      </c>
      <c r="AJ10" s="22" t="e">
        <f>IF((($B10=$B$5)*($AI$5="x"))+(($B10=$B$6)*($AI$6="x"))+(($B10=$B$7)*($AI$7="x"))+(($B10=$B$8)*($AI$8="x")), WORKDAY.INTL(AH10,SUM($AI$1,AI10),1,[1]holidays!AE1:AE14),AH10)</f>
        <v>#REF!</v>
      </c>
      <c r="AL10" s="22" t="e">
        <f>IF((($B10=$B$5)*($AK$5="x"))+(($B10=$B$6)*($AK$6="x"))+(($B10=$B$7)*($AK$7="x"))+(($B10=$B$8)*($AK$8="x")), WORKDAY.INTL(AJ10,SUM($AK$1,AK10),1,[1]holidays!AG1:AG14),AJ10)</f>
        <v>#REF!</v>
      </c>
    </row>
    <row r="11" spans="1:53" s="7" customFormat="1" ht="18.5">
      <c r="A11" s="18"/>
      <c r="B11" s="19"/>
      <c r="C11" s="20"/>
      <c r="D11" s="20"/>
      <c r="F11" s="22">
        <f>IF((($B11=$B$5)*($E$5="x"))+(($B11=$B$6)*($E$6="x"))+(($B11=$B$7)*($E$7="x"))+(($B11=$B$8)*($E$8="x")), WORKDAY.INTL(D11,SUM($F$1,E11),1,[1]holidays!A2:A15),D11)</f>
        <v>0</v>
      </c>
      <c r="H11" s="22">
        <f>IF((($B11=$B$5)*($G$5="x"))+(($B11=$B$6)*($G$6="x"))+(($B11=$B$7)*($G$7="x"))+(($B11=$B$8)*($G$8="x")), WORKDAY.INTL(F11,SUM($G$1,G11),1,[1]holidays!C2:C15),F11)</f>
        <v>0</v>
      </c>
      <c r="J11" s="22">
        <f>IF((($B11=$B$5)*($I$5="x"))+(($B11=$B$6)*($I$6="x"))+(($B11=$B$7)*($I$7="x"))+(($B11=$B$8)*($I$8="x")), WORKDAY.INTL(H11,SUM($I$1,I11),1,[1]holidays!E2:E15),H11)</f>
        <v>0</v>
      </c>
      <c r="L11" s="22">
        <f>IF((($B11=$B$5)*($K$5="x"))+(($B11=$B$6)*($K$6="x"))+(($B11=$B$7)*($K$7="x"))+(($B11=$B$8)*($K$8="x")), WORKDAY.INTL(J11,SUM($K$1,K11),1,[1]holidays!G2:G15),J11)</f>
        <v>0</v>
      </c>
      <c r="N11" s="22">
        <f>IF((($B11=$B$5)*($M$5="x"))+(($B11=$B$6)*($M$6="x"))+(($B11=$B$7)*($M$7="x"))+(($B11=$B$8)*($M$8="x")), WORKDAY.INTL(L11,SUM($M$1,M11),1,[1]holidays!I2:I15),L11)</f>
        <v>0</v>
      </c>
      <c r="P11" s="22">
        <f>IF((($B11=$B$5)*($O$5="x"))+(($B11=$B$6)*($O$6="x"))+(($B11=$B$7)*($O$7="x"))+(($B11=$B$8)*($O$8="x")), WORKDAY.INTL(N11,SUM($O$1,O11),1,[1]holidays!K2:K15),N11)</f>
        <v>0</v>
      </c>
      <c r="R11" s="22">
        <f>IF((($B11=$B$5)*($Q$5="x"))+(($B11=$B$6)*($Q$6="x"))+(($B11=$B$7)*($Q$7="x"))+(($B11=$B$8)*($Q$8="x")), WORKDAY.INTL(P11,SUM($Q$1,Q11),1,[1]holidays!M2:M15),P11)</f>
        <v>0</v>
      </c>
      <c r="S11" s="22"/>
      <c r="T11" s="22">
        <f>IF((($B11=$B$5)*($S$5="x"))+(($B11=$B$6)*($S$6="x"))+(($B11=$B$7)*($S$7="x"))+(($B11=$B$8)*($S$8="x")), WORKDAY.INTL(R11,SUM($S$1,S11),1,[1]holidays!O2:O15),R11)</f>
        <v>0</v>
      </c>
      <c r="V11" s="22">
        <f>IF((($B11=$B$5)*($U$5="x"))+(($B11=$B$6)*($U$6="x"))+(($B11=$B$7)*($U$7="x"))+(($B11=$B$8)*($U$8="x")), WORKDAY.INTL(T11,SUM($U$1,U11),1,[1]holidays!Q2:Q15),T11)</f>
        <v>0</v>
      </c>
      <c r="X11" s="22">
        <f>IF((($B11=$B$5)*($W$5="x"))+(($B11=$B$6)*($W$6="x"))+(($B11=$B$7)*($W$7="x"))+(($B11=$B$8)*($W$8="x")), WORKDAY.INTL(V11,SUM($W$1,W11),1,[1]holidays!S2:S15),V11)</f>
        <v>0</v>
      </c>
      <c r="Z11" s="22">
        <f>IF((($B11=$B$5)*($Y$5="x"))+(($B11=$B$6)*($Y$6="x"))+(($B11=$B$7)*($Y$7="x"))+(($B11=$B$8)*($Y$8="x")), WORKDAY.INTL(X11,SUM($Y$1,Y11),1,[1]holidays!U2:U15),X11)</f>
        <v>0</v>
      </c>
      <c r="AB11" s="22">
        <f>IF((($B11=$B$5)*($AA$5="x"))+(($B11=$B$6)*($AA$6="x"))+(($B11=$B$7)*($AA$7="x"))+(($B11=$B$8)*($AA$8="x")), WORKDAY.INTL(Z11,SUM($AA$1,AA11),1,[1]holidays!W2:W15),Z11)</f>
        <v>0</v>
      </c>
      <c r="AD11" s="22">
        <f>IF((($B11=$B$5)*($AC$5="x"))+(($B11=$B$6)*($AC$6="x"))+(($B11=$B$7)*($AC$7="x"))+(($B11=$B$8)*($AC$8="x")), WORKDAY.INTL(AB11,SUM($AC$1,AC11),1,[1]holidays!Y2:Y15),AB11)</f>
        <v>0</v>
      </c>
      <c r="AF11" s="22">
        <f>IF((($B11=$B$5)*($AE$5="x"))+(($B11=$B$6)*($AE$6="x"))+(($B11=$B$7)*($AE$7="x"))+(($B11=$B$8)*($AE$8="x")), WORKDAY.INTL(AD11,SUM($AE$1,AE11),1,[1]holidays!AA2:AA15),AD11)</f>
        <v>0</v>
      </c>
      <c r="AH11" s="22">
        <f>IF((($B11=$B$5)*($AG$5="x"))+(($B11=$B$6)*($AG$6="x"))+(($B11=$B$7)*($AG$7="x"))+(($B11=$B$8)*($AG$8="x")), WORKDAY.INTL(AF11,SUM($AG$1,AG11),1,[1]holidays!AC2:AC15),AF11)</f>
        <v>0</v>
      </c>
      <c r="AJ11" s="22">
        <f>IF((($B11=$B$5)*($AI$5="x"))+(($B11=$B$6)*($AI$6="x"))+(($B11=$B$7)*($AI$7="x"))+(($B11=$B$8)*($AI$8="x")), WORKDAY.INTL(AH11,SUM($AI$1,AI11),1,[1]holidays!AE2:AE15),AH11)</f>
        <v>0</v>
      </c>
      <c r="AL11" s="22">
        <f>IF((($B11=$B$5)*($AK$5="x"))+(($B11=$B$6)*($AK$6="x"))+(($B11=$B$7)*($AK$7="x"))+(($B11=$B$8)*($AK$8="x")), WORKDAY.INTL(AJ11,SUM($AK$1,AK11),1,[1]holidays!AG2:AG15),AJ11)</f>
        <v>0</v>
      </c>
    </row>
    <row r="12" spans="1:53" s="7" customFormat="1" ht="18.5">
      <c r="A12" s="18"/>
      <c r="B12" s="19"/>
      <c r="C12" s="20"/>
      <c r="D12" s="20"/>
      <c r="F12" s="22">
        <f>IF((($B12=$B$5)*($E$5="x"))+(($B12=$B$6)*($E$6="x"))+(($B12=$B$7)*($E$7="x"))+(($B12=$B$8)*($E$8="x")), WORKDAY.INTL(D12,SUM($F$1,E12),1,[1]holidays!A3:A16),D12)</f>
        <v>0</v>
      </c>
      <c r="H12" s="22">
        <f>IF((($B12=$B$5)*($G$5="x"))+(($B12=$B$6)*($G$6="x"))+(($B12=$B$7)*($G$7="x"))+(($B12=$B$8)*($G$8="x")), WORKDAY.INTL(F12,SUM($G$1,G12),1,[1]holidays!C3:C16),F12)</f>
        <v>0</v>
      </c>
      <c r="J12" s="22">
        <f>IF((($B12=$B$5)*($I$5="x"))+(($B12=$B$6)*($I$6="x"))+(($B12=$B$7)*($I$7="x"))+(($B12=$B$8)*($I$8="x")), WORKDAY.INTL(H12,SUM($I$1,I12),1,[1]holidays!E3:E16),H12)</f>
        <v>0</v>
      </c>
      <c r="L12" s="22">
        <f>IF((($B12=$B$5)*($K$5="x"))+(($B12=$B$6)*($K$6="x"))+(($B12=$B$7)*($K$7="x"))+(($B12=$B$8)*($K$8="x")), WORKDAY.INTL(J12,SUM($K$1,K12),1,[1]holidays!G3:G16),J12)</f>
        <v>0</v>
      </c>
      <c r="N12" s="22">
        <f>IF((($B12=$B$5)*($M$5="x"))+(($B12=$B$6)*($M$6="x"))+(($B12=$B$7)*($M$7="x"))+(($B12=$B$8)*($M$8="x")), WORKDAY.INTL(L12,SUM($M$1,M12),1,[1]holidays!I3:I16),L12)</f>
        <v>0</v>
      </c>
      <c r="P12" s="22">
        <f>IF((($B12=$B$5)*($O$5="x"))+(($B12=$B$6)*($O$6="x"))+(($B12=$B$7)*($O$7="x"))+(($B12=$B$8)*($O$8="x")), WORKDAY.INTL(N12,SUM($O$1,O12),1,[1]holidays!K3:K16),N12)</f>
        <v>0</v>
      </c>
      <c r="R12" s="22">
        <f>IF((($B12=$B$5)*($Q$5="x"))+(($B12=$B$6)*($Q$6="x"))+(($B12=$B$7)*($Q$7="x"))+(($B12=$B$8)*($Q$8="x")), WORKDAY.INTL(P12,SUM($Q$1,Q12),1,[1]holidays!M3:M16),P12)</f>
        <v>0</v>
      </c>
      <c r="T12" s="22">
        <f>IF((($B12=$B$5)*($S$5="x"))+(($B12=$B$6)*($S$6="x"))+(($B12=$B$7)*($S$7="x"))+(($B12=$B$8)*($S$8="x")), WORKDAY.INTL(R12,SUM($S$1,S12),1,[1]holidays!O3:O16),R12)</f>
        <v>0</v>
      </c>
      <c r="V12" s="22">
        <f>IF((($B12=$B$5)*($U$5="x"))+(($B12=$B$6)*($U$6="x"))+(($B12=$B$7)*($U$7="x"))+(($B12=$B$8)*($U$8="x")), WORKDAY.INTL(T12,SUM($U$1,U12),1,[1]holidays!Q3:Q16),T12)</f>
        <v>0</v>
      </c>
      <c r="X12" s="22">
        <f>IF((($B12=$B$5)*($W$5="x"))+(($B12=$B$6)*($W$6="x"))+(($B12=$B$7)*($W$7="x"))+(($B12=$B$8)*($W$8="x")), WORKDAY.INTL(V12,SUM($W$1,W12),1,[1]holidays!S3:S16),V12)</f>
        <v>0</v>
      </c>
      <c r="Z12" s="22">
        <f>IF((($B12=$B$5)*($Y$5="x"))+(($B12=$B$6)*($Y$6="x"))+(($B12=$B$7)*($Y$7="x"))+(($B12=$B$8)*($Y$8="x")), WORKDAY.INTL(X12,SUM($Y$1,Y12),1,[1]holidays!U3:U16),X12)</f>
        <v>0</v>
      </c>
      <c r="AB12" s="22">
        <f>IF((($B12=$B$5)*($AA$5="x"))+(($B12=$B$6)*($AA$6="x"))+(($B12=$B$7)*($AA$7="x"))+(($B12=$B$8)*($AA$8="x")), WORKDAY.INTL(Z12,SUM($AA$1,AA12),1,[1]holidays!W3:W16),Z12)</f>
        <v>0</v>
      </c>
      <c r="AD12" s="22">
        <f>IF((($B12=$B$5)*($AC$5="x"))+(($B12=$B$6)*($AC$6="x"))+(($B12=$B$7)*($AC$7="x"))+(($B12=$B$8)*($AC$8="x")), WORKDAY.INTL(AB12,SUM($AC$1,AC12),1,[1]holidays!Y3:Y16),AB12)</f>
        <v>0</v>
      </c>
      <c r="AF12" s="22">
        <f>IF((($B12=$B$5)*($AE$5="x"))+(($B12=$B$6)*($AE$6="x"))+(($B12=$B$7)*($AE$7="x"))+(($B12=$B$8)*($AE$8="x")), WORKDAY.INTL(AD12,SUM($AE$1,AE12),1,[1]holidays!AA3:AA16),AD12)</f>
        <v>0</v>
      </c>
      <c r="AH12" s="22">
        <f>IF((($B12=$B$5)*($AG$5="x"))+(($B12=$B$6)*($AG$6="x"))+(($B12=$B$7)*($AG$7="x"))+(($B12=$B$8)*($AG$8="x")), WORKDAY.INTL(AF12,SUM($AG$1,AG12),1,[1]holidays!AC3:AC16),AF12)</f>
        <v>0</v>
      </c>
      <c r="AJ12" s="22">
        <f>IF((($B12=$B$5)*($AI$5="x"))+(($B12=$B$6)*($AI$6="x"))+(($B12=$B$7)*($AI$7="x"))+(($B12=$B$8)*($AI$8="x")), WORKDAY.INTL(AH12,SUM($AI$1,AI12),1,[1]holidays!AE3:AE16),AH12)</f>
        <v>0</v>
      </c>
      <c r="AL12" s="22">
        <f>IF((($B12=$B$5)*($AK$5="x"))+(($B12=$B$6)*($AK$6="x"))+(($B12=$B$7)*($AK$7="x"))+(($B12=$B$8)*($AK$8="x")), WORKDAY.INTL(AJ12,SUM($AK$1,AK12),1,[1]holidays!AG3:AG16),AJ12)</f>
        <v>0</v>
      </c>
    </row>
    <row r="13" spans="1:53" s="7" customFormat="1" ht="18.5">
      <c r="A13" s="18"/>
      <c r="B13" s="19"/>
      <c r="D13" s="20"/>
      <c r="E13" s="23"/>
      <c r="F13" s="22">
        <f>IF((($B13=$B$5)*($E$5="x"))+(($B13=$B$6)*($E$6="x"))+(($B13=$B$7)*($E$7="x"))+(($B13=$B$8)*($E$8="x")), WORKDAY.INTL(D13,SUM($F$1,E13),1,[1]holidays!A4:A17),D13)</f>
        <v>0</v>
      </c>
      <c r="G13" s="23"/>
      <c r="H13" s="22">
        <f>IF((($B13=$B$5)*($G$5="x"))+(($B13=$B$6)*($G$6="x"))+(($B13=$B$7)*($G$7="x"))+(($B13=$B$8)*($G$8="x")), WORKDAY.INTL(F13,SUM($G$1,G13),1,[1]holidays!C4:C17),F13)</f>
        <v>0</v>
      </c>
      <c r="I13" s="23"/>
      <c r="J13" s="22">
        <f>IF((($B13=$B$5)*($I$5="x"))+(($B13=$B$6)*($I$6="x"))+(($B13=$B$7)*($I$7="x"))+(($B13=$B$8)*($I$8="x")), WORKDAY.INTL(H13,SUM($I$1,I13),1,[1]holidays!E4:E17),H13)</f>
        <v>0</v>
      </c>
      <c r="K13" s="23"/>
      <c r="L13" s="22">
        <f>IF((($B13=$B$5)*($K$5="x"))+(($B13=$B$6)*($K$6="x"))+(($B13=$B$7)*($K$7="x"))+(($B13=$B$8)*($K$8="x")), WORKDAY.INTL(J13,SUM($K$1,K13),1,[1]holidays!G4:G17),J13)</f>
        <v>0</v>
      </c>
      <c r="N13" s="22">
        <f>IF((($B13=$B$5)*($M$5="x"))+(($B13=$B$6)*($M$6="x"))+(($B13=$B$7)*($M$7="x"))+(($B13=$B$8)*($M$8="x")), WORKDAY.INTL(L13,SUM($M$1,M13),1,[1]holidays!I4:I17),L13)</f>
        <v>0</v>
      </c>
      <c r="P13" s="22">
        <f>IF((($B13=$B$5)*($O$5="x"))+(($B13=$B$6)*($O$6="x"))+(($B13=$B$7)*($O$7="x"))+(($B13=$B$8)*($O$8="x")), WORKDAY.INTL(N13,SUM($O$1,O13),1,[1]holidays!K4:K17),N13)</f>
        <v>0</v>
      </c>
      <c r="R13" s="22">
        <f>IF((($B13=$B$5)*($Q$5="x"))+(($B13=$B$6)*($Q$6="x"))+(($B13=$B$7)*($Q$7="x"))+(($B13=$B$8)*($Q$8="x")), WORKDAY.INTL(P13,SUM($Q$1,Q13),1,[1]holidays!M4:M17),P13)</f>
        <v>0</v>
      </c>
      <c r="T13" s="22">
        <f>IF((($B13=$B$5)*($S$5="x"))+(($B13=$B$6)*($S$6="x"))+(($B13=$B$7)*($S$7="x"))+(($B13=$B$8)*($S$8="x")), WORKDAY.INTL(R13,SUM($S$1,S13),1,[1]holidays!O4:O17),R13)</f>
        <v>0</v>
      </c>
      <c r="V13" s="22">
        <f>IF((($B13=$B$5)*($U$5="x"))+(($B13=$B$6)*($U$6="x"))+(($B13=$B$7)*($U$7="x"))+(($B13=$B$8)*($U$8="x")), WORKDAY.INTL(T13,SUM($U$1,U13),1,[1]holidays!Q4:Q17),T13)</f>
        <v>0</v>
      </c>
      <c r="X13" s="22">
        <f>IF((($B13=$B$5)*($W$5="x"))+(($B13=$B$6)*($W$6="x"))+(($B13=$B$7)*($W$7="x"))+(($B13=$B$8)*($W$8="x")), WORKDAY.INTL(V13,SUM($W$1,W13),1,[1]holidays!S4:S17),V13)</f>
        <v>0</v>
      </c>
      <c r="Z13" s="22">
        <f>IF((($B13=$B$5)*($Y$5="x"))+(($B13=$B$6)*($Y$6="x"))+(($B13=$B$7)*($Y$7="x"))+(($B13=$B$8)*($Y$8="x")), WORKDAY.INTL(X13,SUM($Y$1,Y13),1,[1]holidays!U4:U17),X13)</f>
        <v>0</v>
      </c>
      <c r="AB13" s="22">
        <f>IF((($B13=$B$5)*($AA$5="x"))+(($B13=$B$6)*($AA$6="x"))+(($B13=$B$7)*($AA$7="x"))+(($B13=$B$8)*($AA$8="x")), WORKDAY.INTL(Z13,SUM($AA$1,AA13),1,[1]holidays!W4:W17),Z13)</f>
        <v>0</v>
      </c>
      <c r="AD13" s="22">
        <f>IF((($B13=$B$5)*($AC$5="x"))+(($B13=$B$6)*($AC$6="x"))+(($B13=$B$7)*($AC$7="x"))+(($B13=$B$8)*($AC$8="x")), WORKDAY.INTL(AB13,SUM($AC$1,AC13),1,[1]holidays!Y4:Y17),AB13)</f>
        <v>0</v>
      </c>
      <c r="AF13" s="22">
        <f>IF((($B13=$B$5)*($AE$5="x"))+(($B13=$B$6)*($AE$6="x"))+(($B13=$B$7)*($AE$7="x"))+(($B13=$B$8)*($AE$8="x")), WORKDAY.INTL(AD13,SUM($AE$1,AE13),1,[1]holidays!AA4:AA17),AD13)</f>
        <v>0</v>
      </c>
      <c r="AH13" s="22">
        <f>IF((($B13=$B$5)*($AG$5="x"))+(($B13=$B$6)*($AG$6="x"))+(($B13=$B$7)*($AG$7="x"))+(($B13=$B$8)*($AG$8="x")), WORKDAY.INTL(AF13,SUM($AG$1,AG13),1,[1]holidays!AC4:AC17),AF13)</f>
        <v>0</v>
      </c>
      <c r="AJ13" s="22">
        <f>IF((($B13=$B$5)*($AI$5="x"))+(($B13=$B$6)*($AI$6="x"))+(($B13=$B$7)*($AI$7="x"))+(($B13=$B$8)*($AI$8="x")), WORKDAY.INTL(AH13,SUM($AI$1,AI13),1,[1]holidays!AE4:AE17),AH13)</f>
        <v>0</v>
      </c>
      <c r="AL13" s="22">
        <f>IF((($B13=$B$5)*($AK$5="x"))+(($B13=$B$6)*($AK$6="x"))+(($B13=$B$7)*($AK$7="x"))+(($B13=$B$8)*($AK$8="x")), WORKDAY.INTL(AJ13,SUM($AK$1,AK13),1,[1]holidays!AG4:AG17),AJ13)</f>
        <v>0</v>
      </c>
    </row>
    <row r="14" spans="1:53" ht="15.5">
      <c r="E14" s="24"/>
      <c r="F14" s="24"/>
      <c r="G14" s="24"/>
      <c r="H14" s="24"/>
      <c r="I14" s="24"/>
      <c r="J14" s="24"/>
      <c r="K14" s="24"/>
    </row>
  </sheetData>
  <mergeCells count="73">
    <mergeCell ref="E1:F1"/>
    <mergeCell ref="AE8:AF8"/>
    <mergeCell ref="AG8:AH8"/>
    <mergeCell ref="AI8:AJ8"/>
    <mergeCell ref="AK8:AL8"/>
    <mergeCell ref="AE6:AF6"/>
    <mergeCell ref="AG6:AH6"/>
    <mergeCell ref="AI6:AJ6"/>
    <mergeCell ref="AK6:AL6"/>
    <mergeCell ref="AE5:AF5"/>
    <mergeCell ref="AI3:AJ3"/>
    <mergeCell ref="AK3:AL3"/>
    <mergeCell ref="W3:X3"/>
    <mergeCell ref="Y3:Z3"/>
    <mergeCell ref="AA3:AB3"/>
    <mergeCell ref="AC3:AD3"/>
    <mergeCell ref="AM8:AN8"/>
    <mergeCell ref="AE7:AF7"/>
    <mergeCell ref="AG7:AH7"/>
    <mergeCell ref="AI7:AJ7"/>
    <mergeCell ref="AK7:AL7"/>
    <mergeCell ref="AM7:AN7"/>
    <mergeCell ref="AM6:AN6"/>
    <mergeCell ref="AG5:AH5"/>
    <mergeCell ref="AI5:AJ5"/>
    <mergeCell ref="AK5:AL5"/>
    <mergeCell ref="AM5:AN5"/>
    <mergeCell ref="AE3:AF3"/>
    <mergeCell ref="AG3:AH3"/>
    <mergeCell ref="AQ2:BA2"/>
    <mergeCell ref="E3:F3"/>
    <mergeCell ref="G3:H3"/>
    <mergeCell ref="I3:J3"/>
    <mergeCell ref="K3:L3"/>
    <mergeCell ref="M3:N3"/>
    <mergeCell ref="O3:P3"/>
    <mergeCell ref="Q3:R3"/>
    <mergeCell ref="S3:T3"/>
    <mergeCell ref="U3:V3"/>
    <mergeCell ref="AC2:AD2"/>
    <mergeCell ref="AE2:AF2"/>
    <mergeCell ref="AG2:AH2"/>
    <mergeCell ref="AI2:AJ2"/>
    <mergeCell ref="AK2:AL2"/>
    <mergeCell ref="AM2:AN2"/>
    <mergeCell ref="Q2:R2"/>
    <mergeCell ref="S2:T2"/>
    <mergeCell ref="U2:V2"/>
    <mergeCell ref="W2:X2"/>
    <mergeCell ref="Y2:Z2"/>
    <mergeCell ref="AA2:AB2"/>
    <mergeCell ref="AE1:AF1"/>
    <mergeCell ref="AG1:AH1"/>
    <mergeCell ref="AI1:AJ1"/>
    <mergeCell ref="AK1:AL1"/>
    <mergeCell ref="AM1:AN1"/>
    <mergeCell ref="G2:H2"/>
    <mergeCell ref="I2:J2"/>
    <mergeCell ref="K2:L2"/>
    <mergeCell ref="M2:N2"/>
    <mergeCell ref="O2:P2"/>
    <mergeCell ref="AC1:AD1"/>
    <mergeCell ref="G1:H1"/>
    <mergeCell ref="I1:J1"/>
    <mergeCell ref="K1:L1"/>
    <mergeCell ref="M1:N1"/>
    <mergeCell ref="O1:P1"/>
    <mergeCell ref="Q1:R1"/>
    <mergeCell ref="S1:T1"/>
    <mergeCell ref="U1:V1"/>
    <mergeCell ref="W1:X1"/>
    <mergeCell ref="Y1:Z1"/>
    <mergeCell ref="AA1:AB1"/>
  </mergeCells>
  <conditionalFormatting sqref="AQ3:BA3 E3 G3 I3 K3 M3 O3 Q3 S3 U3 W3 Y3 AA3 AC3 AE3 AG3 AI3 AM3 AK3 A10:A13">
    <cfRule type="expression" dxfId="209" priority="66">
      <formula>ROW()=CELL("Row")</formula>
    </cfRule>
  </conditionalFormatting>
  <conditionalFormatting sqref="F10:F13">
    <cfRule type="expression" dxfId="208" priority="65">
      <formula>(($B10=$B$5)*($E$5=""))+(($B10=$B$6)*($E$6=""))+(($B10=$B$7)*($E$7=""))+(($B10=$B$8)*($E$8=""))</formula>
    </cfRule>
  </conditionalFormatting>
  <conditionalFormatting sqref="H10">
    <cfRule type="expression" dxfId="207" priority="64">
      <formula>(($B10=$B$5)*($E$5=""))+(($B10=$B$6)*($E$6=""))+(($B10=$B$7)*($E$7=""))+(($B10=$B$8)*($E$8=""))</formula>
    </cfRule>
  </conditionalFormatting>
  <conditionalFormatting sqref="J10">
    <cfRule type="expression" dxfId="206" priority="63">
      <formula>(($B10=$B$5)*($E$5=""))+(($B10=$B$6)*($E$6=""))+(($B10=$B$7)*($E$7=""))+(($B10=$B$8)*($E$8=""))</formula>
    </cfRule>
  </conditionalFormatting>
  <conditionalFormatting sqref="L10">
    <cfRule type="expression" dxfId="205" priority="62">
      <formula>(($B10=$B$5)*($E$5=""))+(($B10=$B$6)*($E$6=""))+(($B10=$B$7)*($E$7=""))+(($B10=$B$8)*($E$8=""))</formula>
    </cfRule>
  </conditionalFormatting>
  <conditionalFormatting sqref="L11">
    <cfRule type="expression" dxfId="204" priority="61">
      <formula>(($B11=$B$5)*($E$5=""))+(($B11=$B$6)*($E$6=""))+(($B11=$B$7)*($E$7=""))+(($B11=$B$8)*($E$8=""))</formula>
    </cfRule>
  </conditionalFormatting>
  <conditionalFormatting sqref="L12">
    <cfRule type="expression" dxfId="203" priority="60">
      <formula>(($B12=$B$5)*($E$5=""))+(($B12=$B$6)*($E$6=""))+(($B12=$B$7)*($E$7=""))+(($B12=$B$8)*($E$8=""))</formula>
    </cfRule>
  </conditionalFormatting>
  <conditionalFormatting sqref="L13">
    <cfRule type="expression" dxfId="202" priority="59">
      <formula>(($B13=$B$5)*($E$5=""))+(($B13=$B$6)*($E$6=""))+(($B13=$B$7)*($E$7=""))+(($B13=$B$8)*($E$8=""))</formula>
    </cfRule>
  </conditionalFormatting>
  <conditionalFormatting sqref="N10">
    <cfRule type="expression" dxfId="201" priority="58">
      <formula>(($B10=$B$5)*($E$5=""))+(($B10=$B$6)*($E$6=""))+(($B10=$B$7)*($E$7=""))+(($B10=$B$8)*($E$8=""))</formula>
    </cfRule>
  </conditionalFormatting>
  <conditionalFormatting sqref="N11">
    <cfRule type="expression" dxfId="200" priority="57">
      <formula>(($B11=$B$5)*($E$5=""))+(($B11=$B$6)*($E$6=""))+(($B11=$B$7)*($E$7=""))+(($B11=$B$8)*($E$8=""))</formula>
    </cfRule>
  </conditionalFormatting>
  <conditionalFormatting sqref="N12">
    <cfRule type="expression" dxfId="199" priority="56">
      <formula>(($B12=$B$5)*($E$5=""))+(($B12=$B$6)*($E$6=""))+(($B12=$B$7)*($E$7=""))+(($B12=$B$8)*($E$8=""))</formula>
    </cfRule>
  </conditionalFormatting>
  <conditionalFormatting sqref="N13">
    <cfRule type="expression" dxfId="198" priority="55">
      <formula>(($B13=$B$5)*($E$5=""))+(($B13=$B$6)*($E$6=""))+(($B13=$B$7)*($E$7=""))+(($B13=$B$8)*($E$8=""))</formula>
    </cfRule>
  </conditionalFormatting>
  <conditionalFormatting sqref="P10">
    <cfRule type="expression" dxfId="197" priority="54">
      <formula>(($B10=$B$5)*($E$5=""))+(($B10=$B$6)*($E$6=""))+(($B10=$B$7)*($E$7=""))+(($B10=$B$8)*($E$8=""))</formula>
    </cfRule>
  </conditionalFormatting>
  <conditionalFormatting sqref="P11">
    <cfRule type="expression" dxfId="196" priority="53">
      <formula>(($B11=$B$5)*($E$5=""))+(($B11=$B$6)*($E$6=""))+(($B11=$B$7)*($E$7=""))+(($B11=$B$8)*($E$8=""))</formula>
    </cfRule>
  </conditionalFormatting>
  <conditionalFormatting sqref="P12">
    <cfRule type="expression" dxfId="195" priority="52">
      <formula>(($B12=$B$5)*($E$5=""))+(($B12=$B$6)*($E$6=""))+(($B12=$B$7)*($E$7=""))+(($B12=$B$8)*($E$8=""))</formula>
    </cfRule>
  </conditionalFormatting>
  <conditionalFormatting sqref="P13">
    <cfRule type="expression" dxfId="194" priority="51">
      <formula>(($B13=$B$5)*($E$5=""))+(($B13=$B$6)*($E$6=""))+(($B13=$B$7)*($E$7=""))+(($B13=$B$8)*($E$8=""))</formula>
    </cfRule>
  </conditionalFormatting>
  <conditionalFormatting sqref="R10">
    <cfRule type="expression" dxfId="193" priority="50">
      <formula>(($B10=$B$5)*($E$5=""))+(($B10=$B$6)*($E$6=""))+(($B10=$B$7)*($E$7=""))+(($B10=$B$8)*($E$8=""))</formula>
    </cfRule>
  </conditionalFormatting>
  <conditionalFormatting sqref="R11">
    <cfRule type="expression" dxfId="192" priority="49">
      <formula>(($B11=$B$5)*($E$5=""))+(($B11=$B$6)*($E$6=""))+(($B11=$B$7)*($E$7=""))+(($B11=$B$8)*($E$8=""))</formula>
    </cfRule>
  </conditionalFormatting>
  <conditionalFormatting sqref="R12">
    <cfRule type="expression" dxfId="191" priority="48">
      <formula>(($B12=$B$5)*($E$5=""))+(($B12=$B$6)*($E$6=""))+(($B12=$B$7)*($E$7=""))+(($B12=$B$8)*($E$8=""))</formula>
    </cfRule>
  </conditionalFormatting>
  <conditionalFormatting sqref="R13">
    <cfRule type="expression" dxfId="190" priority="47">
      <formula>(($B13=$B$5)*($E$5=""))+(($B13=$B$6)*($E$6=""))+(($B13=$B$7)*($E$7=""))+(($B13=$B$8)*($E$8=""))</formula>
    </cfRule>
  </conditionalFormatting>
  <conditionalFormatting sqref="T10">
    <cfRule type="expression" dxfId="189" priority="46">
      <formula>(($B10=$B$5)*($E$5=""))+(($B10=$B$6)*($E$6=""))+(($B10=$B$7)*($E$7=""))+(($B10=$B$8)*($E$8=""))</formula>
    </cfRule>
  </conditionalFormatting>
  <conditionalFormatting sqref="T11">
    <cfRule type="expression" dxfId="188" priority="45">
      <formula>(($B11=$B$5)*($E$5=""))+(($B11=$B$6)*($E$6=""))+(($B11=$B$7)*($E$7=""))+(($B11=$B$8)*($E$8=""))</formula>
    </cfRule>
  </conditionalFormatting>
  <conditionalFormatting sqref="T12">
    <cfRule type="expression" dxfId="187" priority="44">
      <formula>(($B12=$B$5)*($E$5=""))+(($B12=$B$6)*($E$6=""))+(($B12=$B$7)*($E$7=""))+(($B12=$B$8)*($E$8=""))</formula>
    </cfRule>
  </conditionalFormatting>
  <conditionalFormatting sqref="T13">
    <cfRule type="expression" dxfId="186" priority="43">
      <formula>(($B13=$B$5)*($E$5=""))+(($B13=$B$6)*($E$6=""))+(($B13=$B$7)*($E$7=""))+(($B13=$B$8)*($E$8=""))</formula>
    </cfRule>
  </conditionalFormatting>
  <conditionalFormatting sqref="V10">
    <cfRule type="expression" dxfId="185" priority="42">
      <formula>(($B10=$B$5)*($E$5=""))+(($B10=$B$6)*($E$6=""))+(($B10=$B$7)*($E$7=""))+(($B10=$B$8)*($E$8=""))</formula>
    </cfRule>
  </conditionalFormatting>
  <conditionalFormatting sqref="V11">
    <cfRule type="expression" dxfId="184" priority="41">
      <formula>(($B11=$B$5)*($E$5=""))+(($B11=$B$6)*($E$6=""))+(($B11=$B$7)*($E$7=""))+(($B11=$B$8)*($E$8=""))</formula>
    </cfRule>
  </conditionalFormatting>
  <conditionalFormatting sqref="V12">
    <cfRule type="expression" dxfId="183" priority="40">
      <formula>(($B12=$B$5)*($E$5=""))+(($B12=$B$6)*($E$6=""))+(($B12=$B$7)*($E$7=""))+(($B12=$B$8)*($E$8=""))</formula>
    </cfRule>
  </conditionalFormatting>
  <conditionalFormatting sqref="V13">
    <cfRule type="expression" dxfId="182" priority="39">
      <formula>(($B13=$B$5)*($E$5=""))+(($B13=$B$6)*($E$6=""))+(($B13=$B$7)*($E$7=""))+(($B13=$B$8)*($E$8=""))</formula>
    </cfRule>
  </conditionalFormatting>
  <conditionalFormatting sqref="X10">
    <cfRule type="expression" dxfId="181" priority="38">
      <formula>(($B10=$B$5)*($E$5=""))+(($B10=$B$6)*($E$6=""))+(($B10=$B$7)*($E$7=""))+(($B10=$B$8)*($E$8=""))</formula>
    </cfRule>
  </conditionalFormatting>
  <conditionalFormatting sqref="X11">
    <cfRule type="expression" dxfId="180" priority="37">
      <formula>(($B11=$B$5)*($E$5=""))+(($B11=$B$6)*($E$6=""))+(($B11=$B$7)*($E$7=""))+(($B11=$B$8)*($E$8=""))</formula>
    </cfRule>
  </conditionalFormatting>
  <conditionalFormatting sqref="X12">
    <cfRule type="expression" dxfId="179" priority="36">
      <formula>(($B12=$B$5)*($E$5=""))+(($B12=$B$6)*($E$6=""))+(($B12=$B$7)*($E$7=""))+(($B12=$B$8)*($E$8=""))</formula>
    </cfRule>
  </conditionalFormatting>
  <conditionalFormatting sqref="X13">
    <cfRule type="expression" dxfId="178" priority="35">
      <formula>(($B13=$B$5)*($E$5=""))+(($B13=$B$6)*($E$6=""))+(($B13=$B$7)*($E$7=""))+(($B13=$B$8)*($E$8=""))</formula>
    </cfRule>
  </conditionalFormatting>
  <conditionalFormatting sqref="Z10">
    <cfRule type="expression" dxfId="177" priority="34">
      <formula>(($B10=$B$5)*($E$5=""))+(($B10=$B$6)*($E$6=""))+(($B10=$B$7)*($E$7=""))+(($B10=$B$8)*($E$8=""))</formula>
    </cfRule>
  </conditionalFormatting>
  <conditionalFormatting sqref="Z11">
    <cfRule type="expression" dxfId="176" priority="33">
      <formula>(($B11=$B$5)*($E$5=""))+(($B11=$B$6)*($E$6=""))+(($B11=$B$7)*($E$7=""))+(($B11=$B$8)*($E$8=""))</formula>
    </cfRule>
  </conditionalFormatting>
  <conditionalFormatting sqref="Z12">
    <cfRule type="expression" dxfId="175" priority="32">
      <formula>(($B12=$B$5)*($E$5=""))+(($B12=$B$6)*($E$6=""))+(($B12=$B$7)*($E$7=""))+(($B12=$B$8)*($E$8=""))</formula>
    </cfRule>
  </conditionalFormatting>
  <conditionalFormatting sqref="Z13">
    <cfRule type="expression" dxfId="174" priority="31">
      <formula>(($B13=$B$5)*($E$5=""))+(($B13=$B$6)*($E$6=""))+(($B13=$B$7)*($E$7=""))+(($B13=$B$8)*($E$8=""))</formula>
    </cfRule>
  </conditionalFormatting>
  <conditionalFormatting sqref="AB10">
    <cfRule type="expression" dxfId="173" priority="30">
      <formula>(($B10=$B$5)*($E$5=""))+(($B10=$B$6)*($E$6=""))+(($B10=$B$7)*($E$7=""))+(($B10=$B$8)*($E$8=""))</formula>
    </cfRule>
  </conditionalFormatting>
  <conditionalFormatting sqref="AB11">
    <cfRule type="expression" dxfId="172" priority="29">
      <formula>(($B11=$B$5)*($E$5=""))+(($B11=$B$6)*($E$6=""))+(($B11=$B$7)*($E$7=""))+(($B11=$B$8)*($E$8=""))</formula>
    </cfRule>
  </conditionalFormatting>
  <conditionalFormatting sqref="AB12">
    <cfRule type="expression" dxfId="171" priority="28">
      <formula>(($B12=$B$5)*($E$5=""))+(($B12=$B$6)*($E$6=""))+(($B12=$B$7)*($E$7=""))+(($B12=$B$8)*($E$8=""))</formula>
    </cfRule>
  </conditionalFormatting>
  <conditionalFormatting sqref="AB13">
    <cfRule type="expression" dxfId="170" priority="27">
      <formula>(($B13=$B$5)*($E$5=""))+(($B13=$B$6)*($E$6=""))+(($B13=$B$7)*($E$7=""))+(($B13=$B$8)*($E$8=""))</formula>
    </cfRule>
  </conditionalFormatting>
  <conditionalFormatting sqref="AD10">
    <cfRule type="expression" dxfId="169" priority="26">
      <formula>(($B10=$B$5)*($E$5=""))+(($B10=$B$6)*($E$6=""))+(($B10=$B$7)*($E$7=""))+(($B10=$B$8)*($E$8=""))</formula>
    </cfRule>
  </conditionalFormatting>
  <conditionalFormatting sqref="AD11">
    <cfRule type="expression" dxfId="168" priority="25">
      <formula>(($B11=$B$5)*($E$5=""))+(($B11=$B$6)*($E$6=""))+(($B11=$B$7)*($E$7=""))+(($B11=$B$8)*($E$8=""))</formula>
    </cfRule>
  </conditionalFormatting>
  <conditionalFormatting sqref="AD12">
    <cfRule type="expression" dxfId="167" priority="24">
      <formula>(($B12=$B$5)*($E$5=""))+(($B12=$B$6)*($E$6=""))+(($B12=$B$7)*($E$7=""))+(($B12=$B$8)*($E$8=""))</formula>
    </cfRule>
  </conditionalFormatting>
  <conditionalFormatting sqref="AD13">
    <cfRule type="expression" dxfId="166" priority="23">
      <formula>(($B13=$B$5)*($E$5=""))+(($B13=$B$6)*($E$6=""))+(($B13=$B$7)*($E$7=""))+(($B13=$B$8)*($E$8=""))</formula>
    </cfRule>
  </conditionalFormatting>
  <conditionalFormatting sqref="AF10">
    <cfRule type="expression" dxfId="165" priority="22">
      <formula>(($B10=$B$5)*($E$5=""))+(($B10=$B$6)*($E$6=""))+(($B10=$B$7)*($E$7=""))+(($B10=$B$8)*($E$8=""))</formula>
    </cfRule>
  </conditionalFormatting>
  <conditionalFormatting sqref="AF11">
    <cfRule type="expression" dxfId="164" priority="21">
      <formula>(($B11=$B$5)*($E$5=""))+(($B11=$B$6)*($E$6=""))+(($B11=$B$7)*($E$7=""))+(($B11=$B$8)*($E$8=""))</formula>
    </cfRule>
  </conditionalFormatting>
  <conditionalFormatting sqref="AF12">
    <cfRule type="expression" dxfId="163" priority="20">
      <formula>(($B12=$B$5)*($E$5=""))+(($B12=$B$6)*($E$6=""))+(($B12=$B$7)*($E$7=""))+(($B12=$B$8)*($E$8=""))</formula>
    </cfRule>
  </conditionalFormatting>
  <conditionalFormatting sqref="AF13">
    <cfRule type="expression" dxfId="162" priority="19">
      <formula>(($B13=$B$5)*($E$5=""))+(($B13=$B$6)*($E$6=""))+(($B13=$B$7)*($E$7=""))+(($B13=$B$8)*($E$8=""))</formula>
    </cfRule>
  </conditionalFormatting>
  <conditionalFormatting sqref="AH10">
    <cfRule type="expression" dxfId="161" priority="18">
      <formula>(($B10=$B$5)*($E$5=""))+(($B10=$B$6)*($E$6=""))+(($B10=$B$7)*($E$7=""))+(($B10=$B$8)*($E$8=""))</formula>
    </cfRule>
  </conditionalFormatting>
  <conditionalFormatting sqref="AH11">
    <cfRule type="expression" dxfId="160" priority="17">
      <formula>(($B11=$B$5)*($E$5=""))+(($B11=$B$6)*($E$6=""))+(($B11=$B$7)*($E$7=""))+(($B11=$B$8)*($E$8=""))</formula>
    </cfRule>
  </conditionalFormatting>
  <conditionalFormatting sqref="AH12">
    <cfRule type="expression" dxfId="159" priority="16">
      <formula>(($B12=$B$5)*($E$5=""))+(($B12=$B$6)*($E$6=""))+(($B12=$B$7)*($E$7=""))+(($B12=$B$8)*($E$8=""))</formula>
    </cfRule>
  </conditionalFormatting>
  <conditionalFormatting sqref="AH13">
    <cfRule type="expression" dxfId="158" priority="15">
      <formula>(($B13=$B$5)*($E$5=""))+(($B13=$B$6)*($E$6=""))+(($B13=$B$7)*($E$7=""))+(($B13=$B$8)*($E$8=""))</formula>
    </cfRule>
  </conditionalFormatting>
  <conditionalFormatting sqref="AJ10">
    <cfRule type="expression" dxfId="157" priority="14">
      <formula>(($B10=$B$5)*($E$5=""))+(($B10=$B$6)*($E$6=""))+(($B10=$B$7)*($E$7=""))+(($B10=$B$8)*($E$8=""))</formula>
    </cfRule>
  </conditionalFormatting>
  <conditionalFormatting sqref="AL10">
    <cfRule type="expression" dxfId="156" priority="13">
      <formula>(($B10=$B$5)*($E$5=""))+(($B10=$B$6)*($E$6=""))+(($B10=$B$7)*($E$7=""))+(($B10=$B$8)*($E$8=""))</formula>
    </cfRule>
  </conditionalFormatting>
  <conditionalFormatting sqref="AL11">
    <cfRule type="expression" dxfId="155" priority="12">
      <formula>(($B11=$B$5)*($E$5=""))+(($B11=$B$6)*($E$6=""))+(($B11=$B$7)*($E$7=""))+(($B11=$B$8)*($E$8=""))</formula>
    </cfRule>
  </conditionalFormatting>
  <conditionalFormatting sqref="AL12">
    <cfRule type="expression" dxfId="154" priority="11">
      <formula>(($B12=$B$5)*($E$5=""))+(($B12=$B$6)*($E$6=""))+(($B12=$B$7)*($E$7=""))+(($B12=$B$8)*($E$8=""))</formula>
    </cfRule>
  </conditionalFormatting>
  <conditionalFormatting sqref="AL13">
    <cfRule type="expression" dxfId="153" priority="10">
      <formula>(($B13=$B$5)*($E$5=""))+(($B13=$B$6)*($E$6=""))+(($B13=$B$7)*($E$7=""))+(($B13=$B$8)*($E$8=""))</formula>
    </cfRule>
  </conditionalFormatting>
  <conditionalFormatting sqref="AJ11">
    <cfRule type="expression" dxfId="152" priority="9">
      <formula>(($B11=$B$5)*($E$5=""))+(($B11=$B$6)*($E$6=""))+(($B11=$B$7)*($E$7=""))+(($B11=$B$8)*($E$8=""))</formula>
    </cfRule>
  </conditionalFormatting>
  <conditionalFormatting sqref="AJ12">
    <cfRule type="expression" dxfId="151" priority="8">
      <formula>(($B12=$B$5)*($E$5=""))+(($B12=$B$6)*($E$6=""))+(($B12=$B$7)*($E$7=""))+(($B12=$B$8)*($E$8=""))</formula>
    </cfRule>
  </conditionalFormatting>
  <conditionalFormatting sqref="AJ13">
    <cfRule type="expression" dxfId="150" priority="7">
      <formula>(($B13=$B$5)*($E$5=""))+(($B13=$B$6)*($E$6=""))+(($B13=$B$7)*($E$7=""))+(($B13=$B$8)*($E$8=""))</formula>
    </cfRule>
  </conditionalFormatting>
  <conditionalFormatting sqref="J11">
    <cfRule type="expression" dxfId="149" priority="6">
      <formula>(($B11=$B$5)*($E$5=""))+(($B11=$B$6)*($E$6=""))+(($B11=$B$7)*($E$7=""))+(($B11=$B$8)*($E$8=""))</formula>
    </cfRule>
  </conditionalFormatting>
  <conditionalFormatting sqref="J13">
    <cfRule type="expression" dxfId="148" priority="5">
      <formula>(($B13=$B$5)*($E$5=""))+(($B13=$B$6)*($E$6=""))+(($B13=$B$7)*($E$7=""))+(($B13=$B$8)*($E$8=""))</formula>
    </cfRule>
  </conditionalFormatting>
  <conditionalFormatting sqref="J12">
    <cfRule type="expression" dxfId="147" priority="4">
      <formula>(($B12=$B$5)*($E$5=""))+(($B12=$B$6)*($E$6=""))+(($B12=$B$7)*($E$7=""))+(($B12=$B$8)*($E$8=""))</formula>
    </cfRule>
  </conditionalFormatting>
  <conditionalFormatting sqref="H11">
    <cfRule type="expression" dxfId="146" priority="3">
      <formula>(($B11=$B$5)*($E$5=""))+(($B11=$B$6)*($E$6=""))+(($B11=$B$7)*($E$7=""))+(($B11=$B$8)*($E$8=""))</formula>
    </cfRule>
  </conditionalFormatting>
  <conditionalFormatting sqref="H12">
    <cfRule type="expression" dxfId="145" priority="2">
      <formula>(($B12=$B$5)*($E$5=""))+(($B12=$B$6)*($E$6=""))+(($B12=$B$7)*($E$7=""))+(($B12=$B$8)*($E$8=""))</formula>
    </cfRule>
  </conditionalFormatting>
  <conditionalFormatting sqref="H13">
    <cfRule type="expression" dxfId="144" priority="1">
      <formula>(($B13=$B$5)*($E$5=""))+(($B13=$B$6)*($E$6=""))+(($B13=$B$7)*($E$7=""))+(($B13=$B$8)*($E$8=""))</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30A54-D620-4451-A9E1-6B2043A07773}">
  <sheetPr codeName="Sheet3"/>
  <dimension ref="A1:EI25"/>
  <sheetViews>
    <sheetView showGridLines="0" workbookViewId="0">
      <selection activeCell="F22" sqref="F22"/>
    </sheetView>
  </sheetViews>
  <sheetFormatPr defaultRowHeight="14.5"/>
  <cols>
    <col min="1" max="1" width="5.81640625" customWidth="1"/>
    <col min="2" max="2" width="51.1796875" customWidth="1"/>
    <col min="3" max="3" width="15.26953125" customWidth="1"/>
    <col min="4" max="4" width="3.54296875" bestFit="1" customWidth="1"/>
    <col min="5" max="5" width="12.54296875" bestFit="1" customWidth="1"/>
    <col min="6" max="6" width="15.81640625" bestFit="1" customWidth="1"/>
    <col min="7" max="7" width="15.81640625" customWidth="1"/>
    <col min="8" max="8" width="2.1796875" customWidth="1"/>
    <col min="9" max="9" width="7.7265625" customWidth="1"/>
    <col min="10" max="10" width="12" customWidth="1"/>
    <col min="11" max="11" width="9.26953125" bestFit="1" customWidth="1"/>
    <col min="12" max="12" width="10.453125" bestFit="1" customWidth="1"/>
    <col min="13" max="13" width="9.26953125" bestFit="1" customWidth="1"/>
    <col min="14" max="14" width="10.453125" bestFit="1" customWidth="1"/>
    <col min="16" max="16" width="11.453125" bestFit="1" customWidth="1"/>
    <col min="18" max="18" width="12.26953125" bestFit="1" customWidth="1"/>
    <col min="20" max="20" width="11.453125" bestFit="1" customWidth="1"/>
    <col min="22" max="22" width="10.453125" bestFit="1" customWidth="1"/>
    <col min="24" max="24" width="11.54296875" customWidth="1"/>
    <col min="26" max="26" width="10.453125" bestFit="1" customWidth="1"/>
    <col min="28" max="28" width="10.453125" bestFit="1" customWidth="1"/>
    <col min="30" max="30" width="10.453125" bestFit="1" customWidth="1"/>
    <col min="32" max="32" width="10.453125" bestFit="1" customWidth="1"/>
    <col min="34" max="34" width="10.453125" bestFit="1" customWidth="1"/>
    <col min="36" max="36" width="10.453125" bestFit="1" customWidth="1"/>
    <col min="38" max="38" width="10.453125" bestFit="1" customWidth="1"/>
    <col min="40" max="40" width="10.453125" bestFit="1" customWidth="1"/>
    <col min="42" max="42" width="10.453125" bestFit="1" customWidth="1"/>
    <col min="44" max="44" width="10.453125" bestFit="1" customWidth="1"/>
    <col min="46" max="46" width="10.453125" bestFit="1" customWidth="1"/>
    <col min="48" max="48" width="10.453125" bestFit="1" customWidth="1"/>
    <col min="50" max="50" width="10.26953125" customWidth="1"/>
    <col min="53" max="55" width="7.54296875" bestFit="1" customWidth="1"/>
    <col min="56" max="56" width="16.1796875" bestFit="1" customWidth="1"/>
    <col min="57" max="57" width="1.54296875" bestFit="1" customWidth="1"/>
    <col min="58" max="58" width="11.453125" bestFit="1" customWidth="1"/>
    <col min="59" max="59" width="9.81640625" bestFit="1" customWidth="1"/>
    <col min="60" max="60" width="9.453125" bestFit="1" customWidth="1"/>
    <col min="61" max="61" width="12.26953125" bestFit="1" customWidth="1"/>
    <col min="62" max="62" width="13.453125" bestFit="1" customWidth="1"/>
    <col min="63" max="63" width="9.26953125" bestFit="1" customWidth="1"/>
  </cols>
  <sheetData>
    <row r="1" spans="1:139" s="170" customFormat="1"/>
    <row r="2" spans="1:139" s="170" customFormat="1"/>
    <row r="3" spans="1:139" s="170" customFormat="1"/>
    <row r="4" spans="1:139">
      <c r="E4" s="8" t="s">
        <v>24</v>
      </c>
      <c r="F4">
        <f>SUM(G4:N4)</f>
        <v>41.25</v>
      </c>
      <c r="G4">
        <f>SUM(J4:AB4)</f>
        <v>34.25</v>
      </c>
      <c r="J4">
        <v>2</v>
      </c>
      <c r="L4">
        <v>3</v>
      </c>
      <c r="N4">
        <v>2</v>
      </c>
      <c r="O4" s="241">
        <v>2</v>
      </c>
      <c r="P4" s="202"/>
      <c r="Q4" s="202">
        <v>10</v>
      </c>
      <c r="R4" s="202"/>
      <c r="S4" s="202">
        <f>S5/8</f>
        <v>1</v>
      </c>
      <c r="T4" s="202"/>
      <c r="U4" s="202">
        <v>4</v>
      </c>
      <c r="V4" s="202"/>
      <c r="W4" s="202">
        <v>2</v>
      </c>
      <c r="X4" s="202"/>
      <c r="Y4" s="202">
        <v>1</v>
      </c>
      <c r="Z4" s="202"/>
      <c r="AA4" s="202">
        <v>7.25</v>
      </c>
      <c r="AB4" s="202"/>
      <c r="AC4" s="202"/>
      <c r="AD4" s="202"/>
      <c r="AE4" s="202"/>
      <c r="AF4" s="202"/>
      <c r="AG4" s="202"/>
      <c r="AH4" s="202"/>
      <c r="AI4" s="202"/>
      <c r="AJ4" s="202"/>
      <c r="AK4" s="202"/>
      <c r="AL4" s="202"/>
      <c r="AM4" s="202"/>
      <c r="AN4" s="202"/>
      <c r="AO4" s="202"/>
      <c r="AP4" s="202"/>
      <c r="AQ4" s="202"/>
      <c r="AR4" s="202"/>
      <c r="AS4" s="202"/>
      <c r="AT4" s="202"/>
      <c r="AU4" s="202"/>
      <c r="AV4" s="202"/>
      <c r="AW4" s="230"/>
      <c r="AX4" s="230"/>
    </row>
    <row r="5" spans="1:139" s="28" customFormat="1">
      <c r="B5"/>
      <c r="C5"/>
      <c r="E5" s="29" t="s">
        <v>25</v>
      </c>
      <c r="I5" s="9"/>
      <c r="J5" s="9">
        <v>16</v>
      </c>
      <c r="L5" s="28">
        <v>24</v>
      </c>
      <c r="N5" s="28">
        <v>16</v>
      </c>
      <c r="P5" s="28">
        <v>16</v>
      </c>
      <c r="Q5" s="211">
        <v>80</v>
      </c>
      <c r="R5" s="211"/>
      <c r="S5" s="211">
        <v>8</v>
      </c>
      <c r="T5" s="211"/>
      <c r="U5" s="211">
        <v>32</v>
      </c>
      <c r="V5" s="211"/>
      <c r="W5" s="211">
        <v>16</v>
      </c>
      <c r="X5" s="211"/>
      <c r="Y5" s="211">
        <v>8</v>
      </c>
      <c r="Z5" s="211"/>
      <c r="AA5" s="211">
        <v>60</v>
      </c>
      <c r="AB5" s="211"/>
      <c r="AC5" s="211"/>
      <c r="AD5" s="211"/>
      <c r="AE5" s="211"/>
      <c r="AF5" s="211"/>
      <c r="AG5" s="211"/>
      <c r="AH5" s="211"/>
      <c r="AI5" s="211"/>
      <c r="AJ5" s="211"/>
      <c r="AK5" s="211"/>
      <c r="AL5" s="211"/>
      <c r="AM5" s="211"/>
      <c r="AN5" s="211"/>
      <c r="AO5" s="211"/>
      <c r="AP5" s="211"/>
      <c r="AQ5" s="211"/>
      <c r="AR5" s="211"/>
      <c r="AS5" s="211"/>
      <c r="AT5" s="211"/>
      <c r="AU5" s="211"/>
      <c r="AV5" s="211"/>
      <c r="AW5" s="211"/>
      <c r="AX5" s="211"/>
      <c r="BA5" s="211"/>
      <c r="BB5" s="211"/>
      <c r="BC5" s="211"/>
      <c r="BD5" s="211"/>
      <c r="BE5" s="211"/>
      <c r="BF5" s="211"/>
      <c r="BG5" s="211"/>
      <c r="BH5" s="211"/>
      <c r="BI5" s="211"/>
      <c r="BJ5" s="211"/>
      <c r="BK5" s="211"/>
    </row>
    <row r="6" spans="1:139" ht="46.15" customHeight="1">
      <c r="B6" s="169" t="s">
        <v>75</v>
      </c>
      <c r="D6" s="66"/>
      <c r="E6" s="64" t="s">
        <v>26</v>
      </c>
      <c r="F6" s="66"/>
      <c r="G6" s="66"/>
      <c r="H6" s="66"/>
      <c r="I6" s="239" t="s">
        <v>27</v>
      </c>
      <c r="J6" s="239"/>
      <c r="K6" s="238" t="s">
        <v>28</v>
      </c>
      <c r="L6" s="238"/>
      <c r="M6" s="238" t="s">
        <v>29</v>
      </c>
      <c r="N6" s="238"/>
      <c r="O6" s="238" t="str">
        <f>Content!Z20</f>
        <v>Node</v>
      </c>
      <c r="P6" s="238"/>
      <c r="Q6" s="242" t="str">
        <f>Content!AA20</f>
        <v>Node / Testing</v>
      </c>
      <c r="R6" s="242"/>
      <c r="S6" s="242" t="str">
        <f>Content!AB20</f>
        <v>Exercise 1</v>
      </c>
      <c r="T6" s="242"/>
      <c r="U6" s="242" t="str">
        <f>Content!AC20</f>
        <v>Exercise 2</v>
      </c>
      <c r="V6" s="242"/>
      <c r="W6" s="242" t="str">
        <f>Content!AD20</f>
        <v>Node Labs</v>
      </c>
      <c r="X6" s="242"/>
      <c r="Y6" s="242" t="str">
        <f>Content!AE20</f>
        <v>Projecto final (ejercicio Node )</v>
      </c>
      <c r="Z6" s="242"/>
      <c r="AA6" s="242">
        <f>Content!AF20</f>
        <v>0</v>
      </c>
      <c r="AB6" s="242"/>
      <c r="AC6" s="242"/>
      <c r="AD6" s="242"/>
      <c r="AE6" s="242"/>
      <c r="AF6" s="242"/>
      <c r="AG6" s="242"/>
      <c r="AH6" s="242"/>
      <c r="AI6" s="242"/>
      <c r="AJ6" s="242"/>
      <c r="AK6" s="242"/>
      <c r="AL6" s="242"/>
      <c r="AM6" s="244"/>
      <c r="AN6" s="244"/>
      <c r="AO6" s="244"/>
      <c r="AP6" s="244"/>
      <c r="AQ6" s="245"/>
      <c r="AR6" s="243"/>
      <c r="AS6" s="243"/>
      <c r="AT6" s="243"/>
      <c r="AU6" s="243"/>
      <c r="AV6" s="243"/>
      <c r="AW6" s="7"/>
      <c r="AX6" s="7"/>
      <c r="AY6" s="7"/>
      <c r="AZ6" s="7"/>
      <c r="BA6" s="7"/>
      <c r="BB6" s="7"/>
      <c r="BC6" s="7"/>
      <c r="BD6" s="7"/>
      <c r="BE6" s="7"/>
      <c r="BF6" s="7"/>
      <c r="BG6" s="7"/>
      <c r="BH6" s="7"/>
      <c r="BI6" s="7"/>
      <c r="BJ6" s="7"/>
      <c r="BK6" s="7"/>
      <c r="BL6" s="7"/>
      <c r="BM6" s="7"/>
      <c r="BN6" s="7"/>
      <c r="BO6" s="7"/>
      <c r="BP6" s="7"/>
      <c r="BQ6" s="7"/>
      <c r="BR6" s="7"/>
      <c r="BS6" s="7"/>
      <c r="BT6" s="7"/>
      <c r="BU6" s="7"/>
      <c r="BV6" s="7"/>
      <c r="BW6" s="7"/>
      <c r="BX6" s="7"/>
      <c r="BY6" s="7"/>
      <c r="BZ6" s="7"/>
      <c r="CA6" s="7"/>
      <c r="CB6" s="7"/>
      <c r="CC6" s="7"/>
      <c r="CD6" s="7"/>
      <c r="CE6" s="7"/>
      <c r="CF6" s="7"/>
      <c r="CG6" s="7"/>
      <c r="CH6" s="7"/>
      <c r="CI6" s="7"/>
      <c r="CJ6" s="7"/>
      <c r="CK6" s="7"/>
      <c r="CL6" s="7"/>
      <c r="CM6" s="7"/>
      <c r="CN6" s="7"/>
      <c r="CO6" s="7"/>
      <c r="CP6" s="7"/>
      <c r="CQ6" s="7"/>
      <c r="CR6" s="7"/>
      <c r="CS6" s="7"/>
      <c r="CT6" s="7"/>
      <c r="CU6" s="7"/>
      <c r="CV6" s="7"/>
      <c r="CW6" s="7"/>
      <c r="CX6" s="7"/>
      <c r="CY6" s="7"/>
      <c r="CZ6" s="7"/>
      <c r="DA6" s="7"/>
      <c r="DB6" s="7"/>
      <c r="DC6" s="7"/>
      <c r="DD6" s="7"/>
      <c r="DE6" s="7"/>
      <c r="DF6" s="7"/>
      <c r="DG6" s="7"/>
      <c r="DH6" s="7"/>
      <c r="DI6" s="7"/>
      <c r="DJ6" s="7"/>
      <c r="DK6" s="7"/>
      <c r="DL6" s="7"/>
      <c r="DM6" s="7"/>
      <c r="DN6" s="7"/>
      <c r="DO6" s="7"/>
      <c r="DP6" s="7"/>
      <c r="DQ6" s="7"/>
      <c r="DR6" s="7"/>
      <c r="DS6" s="7"/>
      <c r="DT6" s="7"/>
      <c r="DU6" s="7"/>
      <c r="DV6" s="7"/>
      <c r="DW6" s="7"/>
      <c r="DX6" s="7"/>
      <c r="DY6" s="7"/>
      <c r="DZ6" s="7"/>
      <c r="EA6" s="7"/>
      <c r="EB6" s="7"/>
      <c r="EC6" s="7"/>
      <c r="ED6" s="7"/>
      <c r="EE6" s="7"/>
      <c r="EF6" s="7"/>
      <c r="EG6" s="7"/>
      <c r="EH6" s="7"/>
    </row>
    <row r="7" spans="1:139">
      <c r="B7" s="66"/>
      <c r="C7" s="66"/>
      <c r="D7" s="66"/>
      <c r="E7" s="99" t="s">
        <v>31</v>
      </c>
      <c r="F7" s="66"/>
      <c r="G7" s="66"/>
      <c r="H7" s="66"/>
      <c r="I7" s="66"/>
      <c r="J7" s="66"/>
      <c r="K7" s="66"/>
      <c r="L7" s="66"/>
      <c r="M7" s="66"/>
      <c r="N7" s="66"/>
      <c r="O7" s="66"/>
      <c r="P7" s="100" t="s">
        <v>32</v>
      </c>
      <c r="Q7" s="100"/>
      <c r="R7" s="100"/>
      <c r="S7" s="100"/>
      <c r="T7" s="100"/>
      <c r="U7" s="100"/>
      <c r="V7" s="100"/>
      <c r="W7" s="100"/>
      <c r="X7" s="100"/>
      <c r="Y7" s="100"/>
      <c r="Z7" s="100"/>
      <c r="AA7" s="100"/>
      <c r="AB7" s="100"/>
      <c r="AC7" s="100"/>
      <c r="AD7" s="100"/>
      <c r="AE7" s="100"/>
      <c r="AF7" s="100"/>
      <c r="AG7" s="66"/>
      <c r="AH7" s="66"/>
      <c r="AI7" s="66"/>
      <c r="AJ7" s="66"/>
      <c r="AK7" s="66"/>
      <c r="AL7" s="66"/>
      <c r="AM7" s="66"/>
      <c r="AN7" s="66"/>
      <c r="AO7" s="66"/>
      <c r="AP7" s="66"/>
      <c r="AQ7" s="31"/>
      <c r="AR7" s="7"/>
      <c r="AS7" s="7"/>
      <c r="AT7" s="7"/>
      <c r="AU7" s="7"/>
      <c r="AV7" s="7"/>
      <c r="AW7" s="7"/>
      <c r="AX7" s="7"/>
      <c r="AY7" s="7"/>
      <c r="AZ7" s="7"/>
      <c r="BA7" s="7"/>
      <c r="BB7" s="7"/>
      <c r="BC7" s="7"/>
      <c r="BD7" s="7"/>
      <c r="BE7" s="7"/>
      <c r="BF7" s="7"/>
      <c r="BG7" s="7"/>
      <c r="BH7" s="7"/>
      <c r="BI7" s="7"/>
      <c r="BJ7" s="7"/>
      <c r="BK7" s="7"/>
      <c r="BL7" s="7"/>
      <c r="BM7" s="7"/>
      <c r="BN7" s="7"/>
      <c r="BO7" s="7"/>
      <c r="BP7" s="7"/>
      <c r="BQ7" s="7"/>
      <c r="BR7" s="7"/>
      <c r="BS7" s="7"/>
      <c r="BT7" s="7"/>
      <c r="BU7" s="7"/>
      <c r="BV7" s="7"/>
      <c r="BW7" s="7"/>
      <c r="BX7" s="7"/>
      <c r="BY7" s="7"/>
      <c r="BZ7" s="7"/>
      <c r="CA7" s="7"/>
      <c r="CB7" s="7"/>
      <c r="CC7" s="7"/>
      <c r="CD7" s="7"/>
      <c r="CE7" s="7"/>
      <c r="CF7" s="7"/>
      <c r="CG7" s="7"/>
      <c r="CH7" s="7"/>
      <c r="CI7" s="7"/>
      <c r="CJ7" s="7"/>
      <c r="CK7" s="7"/>
      <c r="CL7" s="7"/>
      <c r="CM7" s="7"/>
      <c r="CN7" s="7"/>
      <c r="CO7" s="7"/>
      <c r="CP7" s="7"/>
      <c r="CQ7" s="7"/>
      <c r="CR7" s="7"/>
      <c r="CS7" s="7"/>
      <c r="CT7" s="7"/>
      <c r="CU7" s="7"/>
      <c r="CV7" s="7"/>
      <c r="CW7" s="7"/>
      <c r="CX7" s="7"/>
      <c r="CY7" s="7"/>
      <c r="CZ7" s="7"/>
      <c r="DA7" s="7"/>
      <c r="DB7" s="7"/>
      <c r="DC7" s="7"/>
      <c r="DD7" s="7"/>
      <c r="DE7" s="7"/>
      <c r="DF7" s="7"/>
      <c r="DG7" s="7"/>
      <c r="DH7" s="7"/>
      <c r="DI7" s="7"/>
      <c r="DJ7" s="7"/>
      <c r="DK7" s="7"/>
      <c r="DL7" s="7"/>
      <c r="DM7" s="7"/>
      <c r="DN7" s="7"/>
      <c r="DO7" s="7"/>
      <c r="DP7" s="7"/>
      <c r="DQ7" s="7"/>
      <c r="DR7" s="7"/>
      <c r="DS7" s="7"/>
      <c r="DT7" s="7"/>
      <c r="DU7" s="7"/>
      <c r="DV7" s="7"/>
      <c r="DW7" s="7"/>
      <c r="DX7" s="7"/>
      <c r="DY7" s="7"/>
      <c r="DZ7" s="7"/>
      <c r="EA7" s="7"/>
      <c r="EB7" s="7"/>
      <c r="EC7" s="7"/>
      <c r="ED7" s="7"/>
      <c r="EE7" s="7"/>
      <c r="EF7" s="7"/>
      <c r="EG7" s="7"/>
      <c r="EH7" s="7"/>
    </row>
    <row r="8" spans="1:139" s="15" customFormat="1" ht="15.5">
      <c r="A8" s="74"/>
      <c r="B8" s="101"/>
      <c r="C8" s="101"/>
      <c r="D8" s="102" t="s">
        <v>40</v>
      </c>
      <c r="E8" s="102">
        <f>SUM(IF(O8="x",$P$5,0)+IF(Q8="x",$Q$5,0)+IF(S8="x",$S$5,0)+IF(U8="x",$U$5,0)+IF(W8="x",$W$5,0)+IF(Y8="x",$Y$5,0)+IF(AA8="x",$AA$5,0)+IF(AC8="x",$AC$5,0)+IF(AE8="x",$AE$5,0)+IF(AG8="x",$AG$5,0)+IF(AI8="x",$AI$5,0)+IF(AK8="x",$AK$5,0)+IF(AM8="x",$AM$5,0)+IF(AO8="x",$AO$5,0)+IF(AQ8="x",$AQ$5,0)+IF(AS8="x",$AS$5,0)+IF(AU8="x",$AU$5,0)+IF(AW8="x",$AW$5,)+IF(AX8="x",$AX$5,0))</f>
        <v>220</v>
      </c>
      <c r="F8" s="102"/>
      <c r="G8" s="102"/>
      <c r="H8" s="102"/>
      <c r="I8" s="240" t="s">
        <v>41</v>
      </c>
      <c r="J8" s="240"/>
      <c r="K8" s="240" t="s">
        <v>41</v>
      </c>
      <c r="L8" s="240"/>
      <c r="M8" s="240" t="s">
        <v>41</v>
      </c>
      <c r="N8" s="240"/>
      <c r="O8" s="101" t="s">
        <v>41</v>
      </c>
      <c r="P8" s="101"/>
      <c r="Q8" s="101" t="s">
        <v>41</v>
      </c>
      <c r="R8" s="101"/>
      <c r="S8" s="101" t="s">
        <v>41</v>
      </c>
      <c r="T8" s="101"/>
      <c r="U8" s="101" t="s">
        <v>41</v>
      </c>
      <c r="V8" s="101"/>
      <c r="W8" s="101" t="s">
        <v>41</v>
      </c>
      <c r="X8" s="101"/>
      <c r="Y8" s="240" t="s">
        <v>41</v>
      </c>
      <c r="Z8" s="240"/>
      <c r="AA8" s="240" t="s">
        <v>41</v>
      </c>
      <c r="AB8" s="240"/>
      <c r="AC8" s="101"/>
      <c r="AD8" s="101"/>
      <c r="AE8" s="101"/>
      <c r="AF8" s="101"/>
      <c r="AG8" s="66"/>
      <c r="AH8" s="66"/>
      <c r="AI8" s="66"/>
      <c r="AJ8" s="66"/>
      <c r="AK8" s="66"/>
      <c r="AL8" s="66"/>
      <c r="AM8" s="66"/>
      <c r="AN8" s="66"/>
      <c r="AO8" s="244"/>
      <c r="AP8" s="244"/>
      <c r="AQ8" s="245"/>
      <c r="AR8" s="243"/>
      <c r="AS8" s="243"/>
      <c r="AT8" s="243"/>
      <c r="AU8" s="243"/>
      <c r="AV8" s="243"/>
      <c r="AW8" s="243"/>
      <c r="AX8" s="243"/>
      <c r="AY8" s="7"/>
      <c r="AZ8" s="7"/>
      <c r="BA8" s="7"/>
      <c r="BB8" s="7"/>
      <c r="BC8" s="7"/>
      <c r="BD8" s="7"/>
      <c r="BE8" s="7"/>
      <c r="BF8" s="7"/>
      <c r="BG8" s="7"/>
      <c r="BH8" s="7"/>
      <c r="BI8" s="7"/>
      <c r="BJ8" s="7"/>
      <c r="BK8" s="7"/>
      <c r="BL8" s="7"/>
      <c r="BM8" s="7"/>
      <c r="BN8" s="7"/>
      <c r="BO8" s="7"/>
      <c r="BP8" s="7"/>
      <c r="BQ8" s="7"/>
      <c r="BR8" s="7"/>
      <c r="BS8" s="7"/>
      <c r="BT8" s="7"/>
      <c r="BU8" s="7"/>
      <c r="BV8" s="7"/>
      <c r="BW8" s="7"/>
      <c r="BX8" s="7"/>
      <c r="BY8" s="7"/>
      <c r="BZ8" s="7"/>
      <c r="CA8" s="7"/>
      <c r="CB8" s="7"/>
      <c r="CC8" s="7"/>
      <c r="CD8" s="7"/>
      <c r="CE8" s="7"/>
      <c r="CF8" s="7"/>
      <c r="CG8" s="7"/>
      <c r="CH8" s="7"/>
      <c r="CI8" s="7"/>
      <c r="CJ8" s="7"/>
      <c r="CK8" s="7"/>
      <c r="CL8" s="7"/>
      <c r="CM8" s="7"/>
      <c r="CN8" s="7"/>
      <c r="CO8" s="7"/>
      <c r="CP8" s="7"/>
      <c r="CQ8" s="7"/>
      <c r="CR8" s="7"/>
      <c r="CS8" s="7"/>
      <c r="CT8" s="7"/>
      <c r="CU8" s="7"/>
      <c r="CV8" s="7"/>
      <c r="CW8" s="7"/>
      <c r="CX8" s="7"/>
      <c r="CY8" s="7"/>
      <c r="CZ8" s="7"/>
      <c r="DA8" s="7"/>
      <c r="DB8" s="7"/>
      <c r="DC8" s="7"/>
      <c r="DD8" s="7"/>
      <c r="DE8" s="7"/>
      <c r="DF8" s="7"/>
      <c r="DG8" s="7"/>
      <c r="DH8" s="7"/>
      <c r="DI8" s="7"/>
      <c r="DJ8" s="7"/>
      <c r="DK8" s="7"/>
      <c r="DL8" s="7"/>
      <c r="DM8" s="7"/>
      <c r="DN8" s="7"/>
      <c r="DO8" s="7"/>
      <c r="DP8" s="7"/>
      <c r="DQ8" s="7"/>
      <c r="DR8" s="7"/>
      <c r="DS8" s="7"/>
      <c r="DT8" s="7"/>
      <c r="DU8" s="7"/>
      <c r="DV8" s="7"/>
      <c r="DW8" s="7"/>
      <c r="DX8" s="7"/>
      <c r="DY8" s="7"/>
      <c r="DZ8" s="7"/>
      <c r="EA8" s="7"/>
      <c r="EB8" s="7"/>
      <c r="EC8" s="7"/>
      <c r="ED8" s="7"/>
      <c r="EE8" s="7"/>
      <c r="EF8" s="7"/>
      <c r="EG8" s="7"/>
      <c r="EH8" s="7"/>
      <c r="EI8" s="25"/>
    </row>
    <row r="9" spans="1:139" s="15" customFormat="1" ht="15.5">
      <c r="A9" s="74"/>
      <c r="B9" s="101"/>
      <c r="C9" s="101"/>
      <c r="D9" s="102" t="s">
        <v>42</v>
      </c>
      <c r="E9" s="102">
        <f t="shared" ref="E9:E11" si="0">SUM(IF(O9="x",$P$5,0)+IF(Q9="x",$Q$5,0)+IF(S9="x",$S$5,0)+IF(U9="x",$U$5,0)+IF(W9="x",$W$5,0)+IF(Y9="x",$Y$5,0)+IF(AA9="x",$AA$5,0)+IF(AC9="x",$AC$5,0)+IF(AE9="x",$AE$5,0)+IF(AG9="x",$AG$5,0)+IF(AI9="x",$AI$5,0)+IF(AK9="x",$AK$5,0)+IF(AM9="x",$AM$5,0)+IF(AO9="x",$AO$5,0)+IF(AQ9="x",$AQ$5,0)+IF(AS9="x",$AS$5,0)+IF(AU9="x",$AU$5,0)+IF(AW9="x",$AW$5,)+IF(AX9="x",$AX$5,0))</f>
        <v>220</v>
      </c>
      <c r="F9" s="102"/>
      <c r="G9" s="102"/>
      <c r="H9" s="102"/>
      <c r="I9" s="240" t="s">
        <v>41</v>
      </c>
      <c r="J9" s="240"/>
      <c r="K9" s="240" t="s">
        <v>41</v>
      </c>
      <c r="L9" s="240"/>
      <c r="M9" s="240" t="s">
        <v>41</v>
      </c>
      <c r="N9" s="240"/>
      <c r="O9" s="101" t="s">
        <v>41</v>
      </c>
      <c r="P9" s="101"/>
      <c r="Q9" s="101" t="s">
        <v>41</v>
      </c>
      <c r="R9" s="101"/>
      <c r="S9" s="101" t="s">
        <v>41</v>
      </c>
      <c r="T9" s="101"/>
      <c r="U9" s="101" t="s">
        <v>41</v>
      </c>
      <c r="V9" s="101"/>
      <c r="W9" s="101" t="s">
        <v>41</v>
      </c>
      <c r="X9" s="101"/>
      <c r="Y9" s="240" t="s">
        <v>41</v>
      </c>
      <c r="Z9" s="240"/>
      <c r="AA9" s="240" t="s">
        <v>41</v>
      </c>
      <c r="AB9" s="240"/>
      <c r="AC9" s="101"/>
      <c r="AD9" s="101"/>
      <c r="AE9" s="101"/>
      <c r="AF9" s="101"/>
      <c r="AG9" s="66"/>
      <c r="AH9" s="66"/>
      <c r="AI9" s="66"/>
      <c r="AJ9" s="66"/>
      <c r="AK9" s="66"/>
      <c r="AL9" s="66"/>
      <c r="AM9" s="66"/>
      <c r="AN9" s="66"/>
      <c r="AO9" s="244"/>
      <c r="AP9" s="244"/>
      <c r="AQ9" s="245"/>
      <c r="AR9" s="243"/>
      <c r="AS9" s="243"/>
      <c r="AT9" s="243"/>
      <c r="AU9" s="243"/>
      <c r="AV9" s="243"/>
      <c r="AW9" s="243"/>
      <c r="AX9" s="243"/>
      <c r="AY9" s="7"/>
      <c r="AZ9" s="7"/>
      <c r="BA9" s="7"/>
      <c r="BB9" s="7"/>
      <c r="BC9" s="7"/>
      <c r="BD9" s="7"/>
      <c r="BE9" s="7"/>
      <c r="BF9" s="7"/>
      <c r="BG9" s="7"/>
      <c r="BH9" s="7"/>
      <c r="BI9" s="7"/>
      <c r="BJ9" s="7"/>
      <c r="BK9" s="7"/>
      <c r="BL9" s="7"/>
      <c r="BM9" s="7"/>
      <c r="BN9" s="7"/>
      <c r="BO9" s="7"/>
      <c r="BP9" s="7"/>
      <c r="BQ9" s="7"/>
      <c r="BR9" s="7"/>
      <c r="BS9" s="7"/>
      <c r="BT9" s="7"/>
      <c r="BU9" s="7"/>
      <c r="BV9" s="7"/>
      <c r="BW9" s="7"/>
      <c r="BX9" s="7"/>
      <c r="BY9" s="7"/>
      <c r="BZ9" s="7"/>
      <c r="CA9" s="7"/>
      <c r="CB9" s="7"/>
      <c r="CC9" s="7"/>
      <c r="CD9" s="7"/>
      <c r="CE9" s="7"/>
      <c r="CF9" s="7"/>
      <c r="CG9" s="7"/>
      <c r="CH9" s="7"/>
      <c r="CI9" s="7"/>
      <c r="CJ9" s="7"/>
      <c r="CK9" s="7"/>
      <c r="CL9" s="7"/>
      <c r="CM9" s="7"/>
      <c r="CN9" s="7"/>
      <c r="CO9" s="7"/>
      <c r="CP9" s="7"/>
      <c r="CQ9" s="7"/>
      <c r="CR9" s="7"/>
      <c r="CS9" s="7"/>
      <c r="CT9" s="7"/>
      <c r="CU9" s="7"/>
      <c r="CV9" s="7"/>
      <c r="CW9" s="7"/>
      <c r="CX9" s="7"/>
      <c r="CY9" s="7"/>
      <c r="CZ9" s="7"/>
      <c r="DA9" s="7"/>
      <c r="DB9" s="7"/>
      <c r="DC9" s="7"/>
      <c r="DD9" s="7"/>
      <c r="DE9" s="7"/>
      <c r="DF9" s="7"/>
      <c r="DG9" s="7"/>
      <c r="DH9" s="7"/>
      <c r="DI9" s="7"/>
      <c r="DJ9" s="7"/>
      <c r="DK9" s="7"/>
      <c r="DL9" s="7"/>
      <c r="DM9" s="7"/>
      <c r="DN9" s="7"/>
      <c r="DO9" s="7"/>
      <c r="DP9" s="7"/>
      <c r="DQ9" s="7"/>
      <c r="DR9" s="7"/>
      <c r="DS9" s="7"/>
      <c r="DT9" s="7"/>
      <c r="DU9" s="7"/>
      <c r="DV9" s="7"/>
      <c r="DW9" s="7"/>
      <c r="DX9" s="7"/>
      <c r="DY9" s="7"/>
      <c r="DZ9" s="7"/>
      <c r="EA9" s="7"/>
      <c r="EB9" s="7"/>
      <c r="EC9" s="7"/>
      <c r="ED9" s="7"/>
      <c r="EE9" s="7"/>
      <c r="EF9" s="7"/>
      <c r="EG9" s="7"/>
      <c r="EH9" s="7"/>
      <c r="EI9" s="25"/>
    </row>
    <row r="10" spans="1:139" s="15" customFormat="1" ht="15.5">
      <c r="A10" s="74"/>
      <c r="B10" s="101"/>
      <c r="C10" s="101"/>
      <c r="D10" s="102" t="s">
        <v>43</v>
      </c>
      <c r="E10" s="102">
        <f t="shared" si="0"/>
        <v>140</v>
      </c>
      <c r="F10" s="102"/>
      <c r="G10" s="102"/>
      <c r="H10" s="102"/>
      <c r="I10" s="240" t="s">
        <v>41</v>
      </c>
      <c r="J10" s="240"/>
      <c r="K10" s="240" t="s">
        <v>41</v>
      </c>
      <c r="L10" s="240"/>
      <c r="M10" s="240" t="s">
        <v>41</v>
      </c>
      <c r="N10" s="240"/>
      <c r="O10" s="101" t="s">
        <v>41</v>
      </c>
      <c r="P10" s="101"/>
      <c r="Q10" s="101"/>
      <c r="R10" s="101"/>
      <c r="S10" s="101" t="s">
        <v>41</v>
      </c>
      <c r="T10" s="101"/>
      <c r="U10" s="101" t="s">
        <v>41</v>
      </c>
      <c r="V10" s="101"/>
      <c r="W10" s="101" t="s">
        <v>41</v>
      </c>
      <c r="X10" s="101"/>
      <c r="Y10" s="240" t="s">
        <v>41</v>
      </c>
      <c r="Z10" s="240"/>
      <c r="AA10" s="240" t="s">
        <v>41</v>
      </c>
      <c r="AB10" s="240"/>
      <c r="AC10" s="101"/>
      <c r="AD10" s="101"/>
      <c r="AE10" s="101"/>
      <c r="AF10" s="101"/>
      <c r="AG10" s="66"/>
      <c r="AH10" s="66"/>
      <c r="AI10" s="66"/>
      <c r="AJ10" s="66"/>
      <c r="AK10" s="66"/>
      <c r="AL10" s="66"/>
      <c r="AM10" s="66"/>
      <c r="AN10" s="66"/>
      <c r="AO10" s="244"/>
      <c r="AP10" s="244"/>
      <c r="AQ10" s="245"/>
      <c r="AR10" s="243"/>
      <c r="AS10" s="243"/>
      <c r="AT10" s="243"/>
      <c r="AU10" s="243"/>
      <c r="AV10" s="243"/>
      <c r="AW10" s="243"/>
      <c r="AX10" s="243"/>
      <c r="AY10" s="7"/>
      <c r="AZ10" s="7"/>
      <c r="BA10" s="7"/>
      <c r="BB10" s="7"/>
      <c r="BC10" s="7"/>
      <c r="BD10" s="7"/>
      <c r="BE10" s="7"/>
      <c r="BF10" s="7"/>
      <c r="BG10" s="7"/>
      <c r="BH10" s="7"/>
      <c r="BI10" s="7"/>
      <c r="BJ10" s="7"/>
      <c r="BK10" s="7"/>
      <c r="BL10" s="7"/>
      <c r="BM10" s="7"/>
      <c r="BN10" s="7"/>
      <c r="BO10" s="7"/>
      <c r="BP10" s="7"/>
      <c r="BQ10" s="7"/>
      <c r="BR10" s="7"/>
      <c r="BS10" s="7"/>
      <c r="BT10" s="7"/>
      <c r="BU10" s="7"/>
      <c r="BV10" s="7"/>
      <c r="BW10" s="7"/>
      <c r="BX10" s="7"/>
      <c r="BY10" s="7"/>
      <c r="BZ10" s="7"/>
      <c r="CA10" s="7"/>
      <c r="CB10" s="7"/>
      <c r="CC10" s="7"/>
      <c r="CD10" s="7"/>
      <c r="CE10" s="7"/>
      <c r="CF10" s="7"/>
      <c r="CG10" s="7"/>
      <c r="CH10" s="7"/>
      <c r="CI10" s="7"/>
      <c r="CJ10" s="7"/>
      <c r="CK10" s="7"/>
      <c r="CL10" s="7"/>
      <c r="CM10" s="7"/>
      <c r="CN10" s="7"/>
      <c r="CO10" s="7"/>
      <c r="CP10" s="7"/>
      <c r="CQ10" s="7"/>
      <c r="CR10" s="7"/>
      <c r="CS10" s="7"/>
      <c r="CT10" s="7"/>
      <c r="CU10" s="7"/>
      <c r="CV10" s="7"/>
      <c r="CW10" s="7"/>
      <c r="CX10" s="7"/>
      <c r="CY10" s="7"/>
      <c r="CZ10" s="7"/>
      <c r="DA10" s="7"/>
      <c r="DB10" s="7"/>
      <c r="DC10" s="7"/>
      <c r="DD10" s="7"/>
      <c r="DE10" s="7"/>
      <c r="DF10" s="7"/>
      <c r="DG10" s="7"/>
      <c r="DH10" s="7"/>
      <c r="DI10" s="7"/>
      <c r="DJ10" s="7"/>
      <c r="DK10" s="7"/>
      <c r="DL10" s="7"/>
      <c r="DM10" s="7"/>
      <c r="DN10" s="7"/>
      <c r="DO10" s="7"/>
      <c r="DP10" s="7"/>
      <c r="DQ10" s="7"/>
      <c r="DR10" s="7"/>
      <c r="DS10" s="7"/>
      <c r="DT10" s="7"/>
      <c r="DU10" s="7"/>
      <c r="DV10" s="7"/>
      <c r="DW10" s="7"/>
      <c r="DX10" s="7"/>
      <c r="DY10" s="7"/>
      <c r="DZ10" s="7"/>
      <c r="EA10" s="7"/>
      <c r="EB10" s="7"/>
      <c r="EC10" s="7"/>
      <c r="ED10" s="7"/>
      <c r="EE10" s="7"/>
      <c r="EF10" s="7"/>
      <c r="EG10" s="7"/>
      <c r="EH10" s="7"/>
      <c r="EI10" s="25"/>
    </row>
    <row r="11" spans="1:139" s="15" customFormat="1" ht="15.5">
      <c r="A11" s="74"/>
      <c r="B11" s="101"/>
      <c r="C11" s="101"/>
      <c r="D11" s="102" t="s">
        <v>44</v>
      </c>
      <c r="E11" s="102">
        <f t="shared" si="0"/>
        <v>140</v>
      </c>
      <c r="F11" s="102"/>
      <c r="G11" s="102"/>
      <c r="H11" s="102"/>
      <c r="I11" s="240" t="s">
        <v>41</v>
      </c>
      <c r="J11" s="240"/>
      <c r="K11" s="240" t="s">
        <v>41</v>
      </c>
      <c r="L11" s="240"/>
      <c r="M11" s="240" t="s">
        <v>41</v>
      </c>
      <c r="N11" s="240"/>
      <c r="O11" s="101" t="s">
        <v>41</v>
      </c>
      <c r="P11" s="101"/>
      <c r="Q11" s="101"/>
      <c r="R11" s="101"/>
      <c r="S11" s="101" t="s">
        <v>41</v>
      </c>
      <c r="T11" s="101"/>
      <c r="U11" s="101" t="s">
        <v>41</v>
      </c>
      <c r="V11" s="101"/>
      <c r="W11" s="101" t="s">
        <v>41</v>
      </c>
      <c r="X11" s="101"/>
      <c r="Y11" s="240" t="s">
        <v>41</v>
      </c>
      <c r="Z11" s="240"/>
      <c r="AA11" s="240" t="s">
        <v>41</v>
      </c>
      <c r="AB11" s="240"/>
      <c r="AC11" s="101"/>
      <c r="AD11" s="101"/>
      <c r="AE11" s="101"/>
      <c r="AF11" s="101"/>
      <c r="AG11" s="66"/>
      <c r="AH11" s="66"/>
      <c r="AI11" s="66"/>
      <c r="AJ11" s="66"/>
      <c r="AK11" s="66"/>
      <c r="AL11" s="66"/>
      <c r="AM11" s="66"/>
      <c r="AN11" s="66"/>
      <c r="AO11" s="244"/>
      <c r="AP11" s="244"/>
      <c r="AQ11" s="245"/>
      <c r="AR11" s="243"/>
      <c r="AS11" s="243"/>
      <c r="AT11" s="243"/>
      <c r="AU11" s="243"/>
      <c r="AV11" s="243"/>
      <c r="AW11" s="243"/>
      <c r="AX11" s="243"/>
      <c r="AY11" s="7"/>
      <c r="AZ11" s="7"/>
      <c r="BA11" s="7"/>
      <c r="BB11" s="7"/>
      <c r="BC11" s="7"/>
      <c r="BD11" s="7"/>
      <c r="BE11" s="7"/>
      <c r="BF11" s="7"/>
      <c r="BG11" s="7"/>
      <c r="BH11" s="7"/>
      <c r="BI11" s="7"/>
      <c r="BJ11" s="7"/>
      <c r="BK11" s="7"/>
      <c r="BL11" s="7"/>
      <c r="BM11" s="7"/>
      <c r="BN11" s="7"/>
      <c r="BO11" s="7"/>
      <c r="BP11" s="7"/>
      <c r="BQ11" s="7"/>
      <c r="BR11" s="7"/>
      <c r="BS11" s="7"/>
      <c r="BT11" s="7"/>
      <c r="BU11" s="7"/>
      <c r="BV11" s="7"/>
      <c r="BW11" s="7"/>
      <c r="BX11" s="7"/>
      <c r="BY11" s="7"/>
      <c r="BZ11" s="7"/>
      <c r="CA11" s="7"/>
      <c r="CB11" s="7"/>
      <c r="CC11" s="7"/>
      <c r="CD11" s="7"/>
      <c r="CE11" s="7"/>
      <c r="CF11" s="7"/>
      <c r="CG11" s="7"/>
      <c r="CH11" s="7"/>
      <c r="CI11" s="7"/>
      <c r="CJ11" s="7"/>
      <c r="CK11" s="7"/>
      <c r="CL11" s="7"/>
      <c r="CM11" s="7"/>
      <c r="CN11" s="7"/>
      <c r="CO11" s="7"/>
      <c r="CP11" s="7"/>
      <c r="CQ11" s="7"/>
      <c r="CR11" s="7"/>
      <c r="CS11" s="7"/>
      <c r="CT11" s="7"/>
      <c r="CU11" s="7"/>
      <c r="CV11" s="7"/>
      <c r="CW11" s="7"/>
      <c r="CX11" s="7"/>
      <c r="CY11" s="7"/>
      <c r="CZ11" s="7"/>
      <c r="DA11" s="7"/>
      <c r="DB11" s="7"/>
      <c r="DC11" s="7"/>
      <c r="DD11" s="7"/>
      <c r="DE11" s="7"/>
      <c r="DF11" s="7"/>
      <c r="DG11" s="7"/>
      <c r="DH11" s="7"/>
      <c r="DI11" s="7"/>
      <c r="DJ11" s="7"/>
      <c r="DK11" s="7"/>
      <c r="DL11" s="7"/>
      <c r="DM11" s="7"/>
      <c r="DN11" s="7"/>
      <c r="DO11" s="7"/>
      <c r="DP11" s="7"/>
      <c r="DQ11" s="7"/>
      <c r="DR11" s="7"/>
      <c r="DS11" s="7"/>
      <c r="DT11" s="7"/>
      <c r="DU11" s="7"/>
      <c r="DV11" s="7"/>
      <c r="DW11" s="7"/>
      <c r="DX11" s="7"/>
      <c r="DY11" s="7"/>
      <c r="DZ11" s="7"/>
      <c r="EA11" s="7"/>
      <c r="EB11" s="7"/>
      <c r="EC11" s="7"/>
      <c r="ED11" s="7"/>
      <c r="EE11" s="7"/>
      <c r="EF11" s="7"/>
      <c r="EG11" s="7"/>
      <c r="EH11" s="7"/>
      <c r="EI11" s="25"/>
    </row>
    <row r="12" spans="1:139">
      <c r="B12" s="66"/>
      <c r="C12" s="66"/>
      <c r="D12" s="66" t="s">
        <v>45</v>
      </c>
      <c r="E12" s="73" t="s">
        <v>46</v>
      </c>
      <c r="F12" s="73" t="s">
        <v>47</v>
      </c>
      <c r="G12" s="64" t="s">
        <v>48</v>
      </c>
      <c r="H12" s="73"/>
      <c r="I12" s="73" t="s">
        <v>49</v>
      </c>
      <c r="J12" s="73" t="s">
        <v>50</v>
      </c>
      <c r="K12" s="73" t="s">
        <v>49</v>
      </c>
      <c r="L12" s="73" t="s">
        <v>50</v>
      </c>
      <c r="M12" s="73" t="s">
        <v>49</v>
      </c>
      <c r="N12" s="73" t="s">
        <v>50</v>
      </c>
      <c r="O12" s="73" t="s">
        <v>49</v>
      </c>
      <c r="P12" s="73" t="s">
        <v>50</v>
      </c>
      <c r="Q12" s="73" t="s">
        <v>49</v>
      </c>
      <c r="R12" s="73" t="s">
        <v>50</v>
      </c>
      <c r="S12" s="73" t="s">
        <v>49</v>
      </c>
      <c r="T12" s="73" t="s">
        <v>50</v>
      </c>
      <c r="U12" s="73" t="s">
        <v>49</v>
      </c>
      <c r="V12" s="73" t="s">
        <v>50</v>
      </c>
      <c r="W12" s="73" t="s">
        <v>49</v>
      </c>
      <c r="X12" s="73" t="s">
        <v>50</v>
      </c>
      <c r="Y12" s="73" t="s">
        <v>49</v>
      </c>
      <c r="Z12" s="73" t="s">
        <v>50</v>
      </c>
      <c r="AA12" s="73"/>
      <c r="AB12" s="73"/>
      <c r="AC12" s="73"/>
      <c r="AD12" s="73"/>
      <c r="AE12" s="73"/>
      <c r="AF12" s="73"/>
      <c r="AG12" s="73"/>
      <c r="AH12" s="73"/>
      <c r="AI12" s="73"/>
      <c r="AJ12" s="73"/>
      <c r="AK12" s="73"/>
      <c r="AL12" s="73"/>
      <c r="AM12" s="66"/>
      <c r="AN12" s="66"/>
      <c r="AO12" s="66"/>
      <c r="AP12" s="66"/>
      <c r="AQ12" s="31"/>
      <c r="AR12" s="7"/>
      <c r="AS12" s="7"/>
      <c r="AT12" s="7"/>
      <c r="AU12" s="7"/>
      <c r="AV12" s="7"/>
      <c r="AW12" s="7"/>
      <c r="AX12" s="7"/>
      <c r="AY12" s="7"/>
      <c r="AZ12" s="7"/>
      <c r="BA12" s="7"/>
      <c r="BB12" s="7"/>
      <c r="BC12" s="7"/>
      <c r="BD12" s="7"/>
      <c r="BE12" s="7"/>
      <c r="BF12" s="7"/>
      <c r="BG12" s="7"/>
      <c r="BH12" s="7"/>
      <c r="BI12" s="7"/>
      <c r="BJ12" s="7"/>
      <c r="BK12" s="7"/>
      <c r="BL12" s="7"/>
      <c r="BM12" s="7"/>
      <c r="BN12" s="7"/>
      <c r="BO12" s="7"/>
      <c r="BP12" s="7"/>
      <c r="BQ12" s="7"/>
      <c r="BR12" s="7"/>
      <c r="BS12" s="7"/>
      <c r="BT12" s="7"/>
      <c r="BU12" s="7"/>
      <c r="BV12" s="7"/>
      <c r="BW12" s="7"/>
      <c r="BX12" s="7"/>
      <c r="BY12" s="7"/>
      <c r="BZ12" s="7"/>
      <c r="CA12" s="7"/>
      <c r="CB12" s="7"/>
      <c r="CC12" s="7"/>
      <c r="CD12" s="7"/>
      <c r="CE12" s="7"/>
      <c r="CF12" s="7"/>
      <c r="CG12" s="7"/>
      <c r="CH12" s="7"/>
      <c r="CI12" s="7"/>
      <c r="CJ12" s="7"/>
      <c r="CK12" s="7"/>
      <c r="CL12" s="7"/>
      <c r="CM12" s="7"/>
      <c r="CN12" s="7"/>
      <c r="CO12" s="7"/>
      <c r="CP12" s="7"/>
      <c r="CQ12" s="7"/>
      <c r="CR12" s="7"/>
      <c r="CS12" s="7"/>
      <c r="CT12" s="7"/>
      <c r="CU12" s="7"/>
      <c r="CV12" s="7"/>
      <c r="CW12" s="7"/>
      <c r="CX12" s="7"/>
      <c r="CY12" s="7"/>
      <c r="CZ12" s="7"/>
      <c r="DA12" s="7"/>
      <c r="DB12" s="7"/>
      <c r="DC12" s="7"/>
      <c r="DD12" s="7"/>
      <c r="DE12" s="7"/>
      <c r="DF12" s="7"/>
      <c r="DG12" s="7"/>
      <c r="DH12" s="7"/>
      <c r="DI12" s="7"/>
      <c r="DJ12" s="7"/>
      <c r="DK12" s="7"/>
      <c r="DL12" s="7"/>
      <c r="DM12" s="7"/>
      <c r="DN12" s="7"/>
      <c r="DO12" s="7"/>
      <c r="DP12" s="7"/>
      <c r="DQ12" s="7"/>
      <c r="DR12" s="7"/>
      <c r="DS12" s="7"/>
      <c r="DT12" s="7"/>
      <c r="DU12" s="7"/>
      <c r="DV12" s="7"/>
      <c r="DW12" s="7"/>
      <c r="DX12" s="7"/>
      <c r="DY12" s="7"/>
      <c r="DZ12" s="7"/>
      <c r="EA12" s="7"/>
      <c r="EB12" s="7"/>
      <c r="EC12" s="7"/>
      <c r="ED12" s="7"/>
      <c r="EE12" s="7"/>
      <c r="EF12" s="7"/>
      <c r="EG12" s="7"/>
      <c r="EH12" s="7"/>
    </row>
    <row r="13" spans="1:139" s="7" customFormat="1">
      <c r="A13" s="115" t="s">
        <v>6</v>
      </c>
      <c r="B13" s="115" t="s">
        <v>54</v>
      </c>
      <c r="C13" s="115" t="s">
        <v>52</v>
      </c>
      <c r="D13" s="104" t="s">
        <v>40</v>
      </c>
      <c r="E13" s="105">
        <v>44900</v>
      </c>
      <c r="F13" s="105">
        <v>44910</v>
      </c>
      <c r="G13" s="105">
        <f>MAX(I13:AAB13)</f>
        <v>44957</v>
      </c>
      <c r="H13" s="105"/>
      <c r="I13" s="105"/>
      <c r="J13" s="106">
        <f>IF((($D13=$D$8)*($I$8="x"))+(($D13=$D$9)*($I$9="x"))+(($D13=$D$10)*($I$10="x"))+(($D13=$D$11)*($I$11="x")), WORKDAY.INTL(E13,SUM($J$4,I13),1,holidays!A$4:A$1503),E13)</f>
        <v>44902</v>
      </c>
      <c r="K13" s="104"/>
      <c r="L13" s="106">
        <f>IF((($D13=$D$8)*($K$8="x"))+(($D13=$D$9)*($K$9="x"))+(($D13=$D$10)*($K$10="x"))+(($D13=$D$11)*($K$11="x")), WORKDAY.INTL(J13,SUM($L$4,K13),1,holidays!A$4:A$1503),J13)</f>
        <v>44908</v>
      </c>
      <c r="M13" s="104"/>
      <c r="N13" s="106">
        <f>IF((($D13=$D$8)*($M$8="x"))+(($D13=$D$9)*($M$9="x"))+(($D13=$D$10)*($M$10="x"))+(($D13=$D$11)*($M$11="x")), WORKDAY.INTL(L13,SUM($N$4,M13),1,holidays!A$4:A$1503),L13)</f>
        <v>44910</v>
      </c>
      <c r="O13" s="73"/>
      <c r="P13" s="107">
        <f>IF((($D13=$D$8)*($O$8="x"))+(($D13=$D$9)*($O$9="x"))+(($D13=$D$10)*($O$10="x"))+(($D13=$D$11)*($O$11="x")), WORKDAY.INTL(IF($A13="N",$N13,$F13),SUM($O$4,O13),1,holidays!A$4:A$1503),IF($A13="N",$N13,$F13))</f>
        <v>44914</v>
      </c>
      <c r="Q13" s="66"/>
      <c r="R13" s="107">
        <f>IF((($D13=$D$8)*($Q$8="x"))+(($D13=$D$9)*($Q$9="x"))+(($D13=$D$10)*($Q$10="x"))+(($D13=$D$11)*($Q$11="x")), WORKDAY.INTL(P13,SUM($Q$4,Q13),1,holidays!A$4:A$1503),P13)</f>
        <v>44936</v>
      </c>
      <c r="S13" s="108"/>
      <c r="T13" s="107">
        <f>IF((($D13=$D$8)*($S$8="x"))+(($D13=$D$9)*($S$9="x"))+(($D13=$D$10)*($S$10="x"))+(($D13=$D$11)*($S$11="x")), WORKDAY.INTL(R13,SUM($S$4,S13),1,holidays!A$4:A$1503),R13)</f>
        <v>44937</v>
      </c>
      <c r="U13" s="66"/>
      <c r="V13" s="109">
        <f>IF((($D13=$D$8)*($U$8="x"))+(($D13=$D$9)*($U$9="x"))+(($D13=$D$10)*($U$10="x"))+(($D13=$D$11)*($U$11="x")), WORKDAY.INTL(T13,SUM($U$4,U13),1,holidays!A$4:A$1503),T13)</f>
        <v>44943</v>
      </c>
      <c r="W13" s="66"/>
      <c r="X13" s="108">
        <f>IF((($D13=$D$8)*($W$8="x"))+(($D13=$D$9)*($W$9="x"))+(($D13=$D$10)*($W$10="x"))+(($D13=$D$11)*($W$11="x")), WORKDAY.INTL(V13,SUM($W$4,W13),1,holidays!A$4:A$1503),V13)</f>
        <v>44945</v>
      </c>
      <c r="Y13" s="66"/>
      <c r="Z13" s="140">
        <f>IF((($D13=$D$8)*($Y$8="x"))+(($D13=$D$9)*($Y$9="x"))+(($D13=$D$10)*($Y$10="x"))+(($D13=$D$11)*($Y$11="x")), WORKDAY.INTL(X13,SUM($Y$4,Y13),1,holidays!A$4:A$1503),X13)</f>
        <v>44946</v>
      </c>
      <c r="AA13" s="66"/>
      <c r="AB13" s="108">
        <f>IF((($D13=$D$8)*($AA$8="x"))+(($D13=$D$9)*($AA$9="x"))+(($D13=$D$10)*($AA$10="x"))+(($D13=$D$11)*($AA$11="x")), WORKDAY.INTL(Z13,SUM($AA$4,AA13),1,holidays!A$4:A$1503),Z13)</f>
        <v>44957</v>
      </c>
      <c r="AC13" s="66"/>
      <c r="AD13" s="108"/>
      <c r="AE13" s="66"/>
      <c r="AF13" s="108"/>
      <c r="AG13" s="66"/>
      <c r="AH13" s="110"/>
      <c r="AI13" s="66"/>
      <c r="AJ13" s="108"/>
      <c r="AK13" s="66"/>
      <c r="AL13" s="108"/>
      <c r="AM13" s="66"/>
      <c r="AN13" s="66"/>
      <c r="AO13" s="66"/>
      <c r="AP13" s="66"/>
      <c r="AQ13" s="31"/>
      <c r="EI13" s="31"/>
    </row>
    <row r="14" spans="1:139" s="7" customFormat="1">
      <c r="A14" s="115" t="s">
        <v>8</v>
      </c>
      <c r="B14" s="115" t="s">
        <v>51</v>
      </c>
      <c r="C14" s="115" t="s">
        <v>52</v>
      </c>
      <c r="D14" s="104" t="s">
        <v>40</v>
      </c>
      <c r="E14" s="7" t="s">
        <v>76</v>
      </c>
      <c r="F14" s="105">
        <v>44586</v>
      </c>
      <c r="G14" s="105">
        <f>MAX(I14:AAB14)</f>
        <v>44623</v>
      </c>
      <c r="H14" s="105"/>
      <c r="I14" s="105"/>
      <c r="J14" s="105"/>
      <c r="K14" s="93"/>
      <c r="L14" s="105"/>
      <c r="M14" s="93"/>
      <c r="N14" s="105"/>
      <c r="O14" s="66"/>
      <c r="P14" s="107">
        <f>IF((($D14=$D$8)*($O$8="x"))+(($D14=$D$9)*($O$9="x"))+(($D14=$D$10)*($O$10="x"))+(($D14=$D$11)*($O$11="x")), WORKDAY.INTL(IF($A14="N",$N14,$F14),SUM($O$4,O14),1,holidays!A$4:A$1503),IF($A14="N",$N14,$F14))</f>
        <v>44588</v>
      </c>
      <c r="Q14" s="105"/>
      <c r="R14" s="105">
        <f>IF((($D14=$D$8)*($Q$8="x"))+(($D14=$D$9)*($Q$9="x"))+(($D14=$D$10)*($Q$10="x"))+(($D14=$D$11)*($Q$11="x")), WORKDAY.INTL(P14,SUM($Q$4,Q14),1,holidays!A$4:A$1503),P14)</f>
        <v>44602</v>
      </c>
      <c r="S14" s="105"/>
      <c r="T14" s="105">
        <f>IF((($D14=$D$8)*($S$8="x"))+(($D14=$D$9)*($S$9="x"))+(($D14=$D$10)*($S$10="x"))+(($D14=$D$11)*($S$11="x")), WORKDAY.INTL(R14,SUM($S$4,S14),1,holidays!A$4:A$1503),R14)</f>
        <v>44603</v>
      </c>
      <c r="U14" s="105"/>
      <c r="V14" s="105">
        <f>IF((($D14=$D$8)*($U$8="x"))+(($D14=$D$9)*($U$9="x"))+(($D14=$D$10)*($U$10="x"))+(($D14=$D$11)*($U$11="x")), WORKDAY.INTL(T14,SUM($U$4,U14),1,holidays!A$4:A$1503),T14)</f>
        <v>44609</v>
      </c>
      <c r="W14" s="105"/>
      <c r="X14" s="105">
        <f>IF((($D14=$D$8)*($W$8="x"))+(($D14=$D$9)*($W$9="x"))+(($D14=$D$10)*($W$10="x"))+(($D14=$D$11)*($W$11="x")), WORKDAY.INTL(V14,SUM($W$4,W14),1,holidays!A$4:A$1503),V14)</f>
        <v>44613</v>
      </c>
      <c r="Y14" s="105"/>
      <c r="Z14" s="105">
        <f>IF((($D14=$D$8)*($Y$8="x"))+(($D14=$D$9)*($Y$9="x"))+(($D14=$D$10)*($Y$10="x"))+(($D14=$D$11)*($Y$11="x")), WORKDAY.INTL(X14,SUM($Y$4,Y14),1,holidays!A$4:A$1503),X14)</f>
        <v>44614</v>
      </c>
      <c r="AA14" s="66"/>
      <c r="AB14" s="108">
        <f>IF((($D14=$D$8)*($AA$8="x"))+(($D14=$D$9)*($AA$9="x"))+(($D14=$D$10)*($AA$10="x"))+(($D14=$D$11)*($AA$11="x")), WORKDAY.INTL(Z14,SUM($AA$4,AA14),1,holidays!A$4:A$1503),Z14)</f>
        <v>44623</v>
      </c>
      <c r="AC14" s="108"/>
      <c r="AD14" s="108"/>
      <c r="AE14" s="66"/>
      <c r="AF14" s="108"/>
      <c r="AG14" s="66"/>
      <c r="AH14" s="66"/>
      <c r="AI14" s="66"/>
      <c r="AJ14" s="66"/>
      <c r="AK14" s="66"/>
      <c r="AL14" s="66"/>
      <c r="AM14" s="66"/>
      <c r="AN14" s="66"/>
      <c r="AO14" s="66"/>
      <c r="AP14" s="66"/>
      <c r="AQ14" s="31"/>
      <c r="EI14" s="31"/>
    </row>
    <row r="15" spans="1:139" s="7" customFormat="1">
      <c r="A15" s="111"/>
      <c r="B15" s="111"/>
      <c r="C15" s="111"/>
      <c r="D15" s="104"/>
      <c r="E15" s="105"/>
      <c r="F15" s="105"/>
      <c r="G15" s="105"/>
      <c r="H15" s="105"/>
      <c r="I15" s="105"/>
      <c r="J15" s="105">
        <f>IF((($D15=$D$8)*($I$8="x"))+(($D15=$D$9)*($I$9="x"))+(($D15=$D$10)*($I$10="x"))+(($D15=$D$11)*($I$11="x")), WORKDAY.INTL(E15,SUM($J$4,I15),1,holidays!A$4:A$1503),E15)</f>
        <v>0</v>
      </c>
      <c r="K15" s="93"/>
      <c r="L15" s="105">
        <f>IF((($D15=$D$8)*($K$8="x"))+(($D15=$D$9)*($K$9="x"))+(($D15=$D$10)*($K$10="x"))+(($D15=$D$11)*($K$11="x")), WORKDAY.INTL(J15,SUM($L$4,K15),1,holidays!A$4:A$1503),J15)</f>
        <v>0</v>
      </c>
      <c r="M15" s="93"/>
      <c r="N15" s="105">
        <f>IF((($D15=$D$8)*($M$8="x"))+(($D15=$D$9)*($M$9="x"))+(($D15=$D$10)*($M$10="x"))+(($D15=$D$11)*($M$11="x")), WORKDAY.INTL(L15,SUM($N$4,M15),1,holidays!A$4:A$1503),L15)</f>
        <v>0</v>
      </c>
      <c r="O15" s="100"/>
      <c r="P15" s="107">
        <f>IF((($D15=$D$8)*($O$8="x"))+(($D15=$D$9)*($O$9="x"))+(($D15=$D$10)*($O$10="x"))+(($D15=$D$11)*($O$11="x")), WORKDAY.INTL(IF($A15="N",$N15,$F15),SUM($O$4,O15),1,holidays!A$4:A$1503),IF($A15="N",$N15,$F15))</f>
        <v>0</v>
      </c>
      <c r="Q15" s="105"/>
      <c r="R15" s="105">
        <f>IF((($D15=$D$8)*($Q$8="x"))+(($D15=$D$9)*($Q$9="x"))+(($D15=$D$10)*($Q$10="x"))+(($D15=$D$11)*($Q$11="x")), WORKDAY.INTL(P15,SUM($Q$4,Q15),1,holidays!A$4:A$1503),P15)</f>
        <v>0</v>
      </c>
      <c r="S15" s="105"/>
      <c r="T15" s="105">
        <f>IF((($D15=$D$8)*($S$8="x"))+(($D15=$D$9)*($S$9="x"))+(($D15=$D$10)*($S$10="x"))+(($D15=$D$11)*($S$11="x")), WORKDAY.INTL(R15,SUM($S$4,S15),1,holidays!A$4:A$1503),R15)</f>
        <v>0</v>
      </c>
      <c r="U15" s="105"/>
      <c r="V15" s="105">
        <f>IF((($D15=$D$8)*($U$8="x"))+(($D15=$D$9)*($U$9="x"))+(($D15=$D$10)*($U$10="x"))+(($D15=$D$11)*($U$11="x")), WORKDAY.INTL(T15,SUM($U$4,U15),1,holidays!A$4:A$1503),T15)</f>
        <v>0</v>
      </c>
      <c r="W15" s="105"/>
      <c r="X15" s="105">
        <f>IF((($D15=$D$8)*($W$8="x"))+(($D15=$D$9)*($W$9="x"))+(($D15=$D$10)*($W$10="x"))+(($D15=$D$11)*($W$11="x")), WORKDAY.INTL(V15,SUM($W$4,W15),1,holidays!A$4:A$1503),V15)</f>
        <v>0</v>
      </c>
      <c r="Y15" s="105"/>
      <c r="Z15" s="105">
        <f>IF((($D15=$D$8)*($Y$8="x"))+(($D15=$D$9)*($Y$9="x"))+(($D15=$D$10)*($Y$10="x"))+(($D15=$D$11)*($Y$11="x")), WORKDAY.INTL(X15,SUM($Y$4,Y15),1,holidays!A$4:A$1503),X15)</f>
        <v>0</v>
      </c>
      <c r="AA15" s="66"/>
      <c r="AB15" s="108">
        <f>IF((($D15=$D$8)*($AA$8="x"))+(($D15=$D$9)*($AA$9="x"))+(($D15=$D$10)*($AA$10="x"))+(($D15=$D$11)*($AA$11="x")), WORKDAY.INTL(Z15,SUM($AA$4,AA15),1,holidays!A$4:A$1503),Z15)</f>
        <v>0</v>
      </c>
      <c r="AC15" s="66"/>
      <c r="AD15" s="108"/>
      <c r="AE15" s="66"/>
      <c r="AF15" s="108"/>
      <c r="AG15" s="66"/>
      <c r="AH15" s="66"/>
      <c r="AI15" s="66"/>
      <c r="AJ15" s="66"/>
      <c r="AK15" s="66"/>
      <c r="AL15" s="66"/>
      <c r="AM15" s="66"/>
      <c r="AN15" s="66"/>
      <c r="AO15" s="66"/>
      <c r="AP15" s="66"/>
      <c r="AQ15" s="31"/>
      <c r="EI15" s="31"/>
    </row>
    <row r="16" spans="1:139" s="7" customFormat="1" ht="18.5">
      <c r="A16" t="s">
        <v>8</v>
      </c>
      <c r="B16" s="112"/>
      <c r="C16" s="112"/>
      <c r="D16" s="104"/>
      <c r="E16" s="66"/>
      <c r="F16" s="105">
        <v>0</v>
      </c>
      <c r="G16" s="105">
        <f>MAX(I16:AAB16)</f>
        <v>0</v>
      </c>
      <c r="H16" s="105"/>
      <c r="I16" s="105"/>
      <c r="J16" s="105">
        <f>IF((($D16=$D$8)*($I$8="x"))+(($D16=$D$9)*($I$9="x"))+(($D16=$D$10)*($I$10="x"))+(($D16=$D$11)*($I$11="x")), WORKDAY.INTL(E16,SUM($J$4,I16),1,holidays!A$4:A$1503),E16)</f>
        <v>0</v>
      </c>
      <c r="K16" s="105"/>
      <c r="L16" s="105">
        <f>IF((($D16=$D$8)*($K$8="x"))+(($D16=$D$9)*($K$9="x"))+(($D16=$D$10)*($K$10="x"))+(($D16=$D$11)*($K$11="x")), WORKDAY.INTL(J16,SUM($L$4,K16),1,holidays!A$4:A$1503),J16)</f>
        <v>0</v>
      </c>
      <c r="M16" s="105"/>
      <c r="N16" s="105">
        <f>IF((($D16=$D$8)*($M$8="x"))+(($D16=$D$9)*($M$9="x"))+(($D16=$D$10)*($M$10="x"))+(($D16=$D$11)*($M$11="x")), WORKDAY.INTL(L16,SUM($N$4,M16),1,holidays!A$4:A$1503),L16)</f>
        <v>0</v>
      </c>
      <c r="O16" s="113"/>
      <c r="P16" s="114">
        <f>IF((($D16=$D$8)*($O$8="x"))+(($D16=$D$9)*($O$9="x"))+(($D16=$D$10)*($O$10="x"))+(($D16=$D$11)*($O$11="x")), WORKDAY.INTL(IF($A16="N",$N16,$F16),SUM($O$4,O16),1,holidays!A$4:A$1503),IF($A16="N",$N16,$F16))</f>
        <v>0</v>
      </c>
      <c r="Q16" s="105"/>
      <c r="R16" s="105">
        <f>IF((($D16=$D$8)*($Q$8="x"))+(($D16=$D$9)*($Q$9="x"))+(($D16=$D$10)*($Q$10="x"))+(($D16=$D$11)*($Q$11="x")), WORKDAY.INTL(P16,SUM($Q$4,Q16),1,holidays!A$4:A$1503),P16)</f>
        <v>0</v>
      </c>
      <c r="S16" s="105"/>
      <c r="T16" s="105">
        <f>IF((($D16=$D$8)*($S$8="x"))+(($D16=$D$9)*($S$9="x"))+(($D16=$D$10)*($S$10="x"))+(($D16=$D$11)*($S$11="x")), WORKDAY.INTL(R16,SUM($S$4,S16),1,holidays!A$4:A$1503),R16)</f>
        <v>0</v>
      </c>
      <c r="U16" s="105"/>
      <c r="V16" s="105">
        <f>IF((($D16=$D$8)*($U$8="x"))+(($D16=$D$9)*($U$9="x"))+(($D16=$D$10)*($U$10="x"))+(($D16=$D$11)*($U$11="x")), WORKDAY.INTL(T16,SUM($U$4,U16),1,holidays!A$4:A$1503),T16)</f>
        <v>0</v>
      </c>
      <c r="W16" s="105"/>
      <c r="X16" s="105">
        <f>IF((($D16=$D$8)*($W$8="x"))+(($D16=$D$9)*($W$9="x"))+(($D16=$D$10)*($W$10="x"))+(($D16=$D$11)*($W$11="x")), WORKDAY.INTL(V16,SUM($W$4,W16),1,holidays!A$4:A$1503),V16)</f>
        <v>0</v>
      </c>
      <c r="Y16" s="105"/>
      <c r="Z16" s="105">
        <f>IF((($D16=$D$8)*($Y$8="x"))+(($D16=$D$9)*($Y$9="x"))+(($D16=$D$10)*($Y$10="x"))+(($D16=$D$11)*($Y$11="x")), WORKDAY.INTL(X16,SUM($Y$4,Y16),1,holidays!A$4:A$1503),X16)</f>
        <v>0</v>
      </c>
      <c r="AA16" s="66"/>
      <c r="AB16" s="108">
        <f>IF((($D16=$D$8)*($AA$8="x"))+(($D16=$D$9)*($AA$9="x"))+(($D16=$D$10)*($AA$10="x"))+(($D16=$D$11)*($AA$11="x")), WORKDAY.INTL(Z16,SUM($AA$4,AA16),1,holidays!A$4:A$1503),Z16)</f>
        <v>0</v>
      </c>
      <c r="AC16" s="66"/>
      <c r="AD16" s="108"/>
      <c r="AE16" s="66"/>
      <c r="AF16" s="108"/>
      <c r="AG16" s="66"/>
      <c r="AH16" s="66"/>
      <c r="AI16" s="66"/>
      <c r="AJ16" s="66"/>
      <c r="AK16" s="66"/>
      <c r="AL16" s="66"/>
      <c r="AM16" s="66"/>
      <c r="AN16" s="66"/>
      <c r="AO16" s="66"/>
      <c r="AP16" s="66"/>
      <c r="AQ16" s="31"/>
      <c r="EI16" s="31"/>
    </row>
    <row r="17" spans="1:21" ht="15.5">
      <c r="O17" s="24"/>
      <c r="P17" s="24"/>
      <c r="Q17" s="24"/>
      <c r="R17" s="24"/>
      <c r="S17" s="24"/>
      <c r="T17" s="24"/>
      <c r="U17" s="24"/>
    </row>
    <row r="18" spans="1:21">
      <c r="A18" s="115"/>
      <c r="B18" t="s">
        <v>1</v>
      </c>
    </row>
    <row r="19" spans="1:21">
      <c r="A19" s="111"/>
      <c r="B19" t="s">
        <v>2</v>
      </c>
    </row>
    <row r="20" spans="1:21">
      <c r="A20" s="116"/>
      <c r="B20" t="s">
        <v>3</v>
      </c>
    </row>
    <row r="21" spans="1:21">
      <c r="A21" s="117"/>
      <c r="B21" t="s">
        <v>4</v>
      </c>
    </row>
    <row r="22" spans="1:21">
      <c r="A22" s="103"/>
      <c r="B22" t="s">
        <v>5</v>
      </c>
    </row>
    <row r="24" spans="1:21" ht="15" customHeight="1">
      <c r="A24" s="66" t="s">
        <v>6</v>
      </c>
      <c r="B24" s="66" t="s">
        <v>7</v>
      </c>
    </row>
    <row r="25" spans="1:21" ht="15" customHeight="1">
      <c r="A25" s="66" t="s">
        <v>8</v>
      </c>
      <c r="B25" s="66" t="s">
        <v>9</v>
      </c>
    </row>
  </sheetData>
  <mergeCells count="96">
    <mergeCell ref="Y9:Z9"/>
    <mergeCell ref="AA9:AB9"/>
    <mergeCell ref="AW9:AX9"/>
    <mergeCell ref="M10:N10"/>
    <mergeCell ref="Y10:Z10"/>
    <mergeCell ref="AA10:AB10"/>
    <mergeCell ref="AW10:AX10"/>
    <mergeCell ref="AU10:AV10"/>
    <mergeCell ref="AO9:AP9"/>
    <mergeCell ref="AQ9:AR9"/>
    <mergeCell ref="AS9:AT9"/>
    <mergeCell ref="AU9:AV9"/>
    <mergeCell ref="M9:N9"/>
    <mergeCell ref="M11:N11"/>
    <mergeCell ref="Y11:Z11"/>
    <mergeCell ref="AA11:AB11"/>
    <mergeCell ref="AW11:AX11"/>
    <mergeCell ref="Q5:R5"/>
    <mergeCell ref="S5:T5"/>
    <mergeCell ref="U5:V5"/>
    <mergeCell ref="W5:X5"/>
    <mergeCell ref="AW5:AX5"/>
    <mergeCell ref="AO11:AP11"/>
    <mergeCell ref="AQ11:AR11"/>
    <mergeCell ref="AS11:AT11"/>
    <mergeCell ref="AU11:AV11"/>
    <mergeCell ref="AO10:AP10"/>
    <mergeCell ref="AQ10:AR10"/>
    <mergeCell ref="AS10:AT10"/>
    <mergeCell ref="BA5:BK5"/>
    <mergeCell ref="AU6:AV6"/>
    <mergeCell ref="M8:N8"/>
    <mergeCell ref="Y8:Z8"/>
    <mergeCell ref="AA8:AB8"/>
    <mergeCell ref="AW8:AX8"/>
    <mergeCell ref="AK6:AL6"/>
    <mergeCell ref="AM6:AN6"/>
    <mergeCell ref="AO6:AP6"/>
    <mergeCell ref="AQ6:AR6"/>
    <mergeCell ref="AS6:AT6"/>
    <mergeCell ref="AU8:AV8"/>
    <mergeCell ref="AO8:AP8"/>
    <mergeCell ref="AQ8:AR8"/>
    <mergeCell ref="AS8:AT8"/>
    <mergeCell ref="AI6:AJ6"/>
    <mergeCell ref="M6:N6"/>
    <mergeCell ref="O6:P6"/>
    <mergeCell ref="Q6:R6"/>
    <mergeCell ref="S6:T6"/>
    <mergeCell ref="U6:V6"/>
    <mergeCell ref="W6:X6"/>
    <mergeCell ref="Y6:Z6"/>
    <mergeCell ref="AA6:AB6"/>
    <mergeCell ref="AC6:AD6"/>
    <mergeCell ref="AE6:AF6"/>
    <mergeCell ref="AG6:AH6"/>
    <mergeCell ref="Y5:Z5"/>
    <mergeCell ref="AK4:AL4"/>
    <mergeCell ref="AM4:AN4"/>
    <mergeCell ref="AO4:AP4"/>
    <mergeCell ref="AQ4:AR4"/>
    <mergeCell ref="AA5:AB5"/>
    <mergeCell ref="AC5:AD5"/>
    <mergeCell ref="AE5:AF5"/>
    <mergeCell ref="AG5:AH5"/>
    <mergeCell ref="AI5:AJ5"/>
    <mergeCell ref="AK5:AL5"/>
    <mergeCell ref="AM5:AN5"/>
    <mergeCell ref="AO5:AP5"/>
    <mergeCell ref="AQ5:AR5"/>
    <mergeCell ref="AS5:AT5"/>
    <mergeCell ref="AU5:AV5"/>
    <mergeCell ref="AW4:AX4"/>
    <mergeCell ref="W4:X4"/>
    <mergeCell ref="O4:P4"/>
    <mergeCell ref="Q4:R4"/>
    <mergeCell ref="S4:T4"/>
    <mergeCell ref="U4:V4"/>
    <mergeCell ref="AS4:AT4"/>
    <mergeCell ref="AU4:AV4"/>
    <mergeCell ref="Y4:Z4"/>
    <mergeCell ref="AA4:AB4"/>
    <mergeCell ref="AC4:AD4"/>
    <mergeCell ref="AE4:AF4"/>
    <mergeCell ref="AG4:AH4"/>
    <mergeCell ref="AI4:AJ4"/>
    <mergeCell ref="I11:J11"/>
    <mergeCell ref="K8:L8"/>
    <mergeCell ref="K9:L9"/>
    <mergeCell ref="K10:L10"/>
    <mergeCell ref="K11:L11"/>
    <mergeCell ref="K6:L6"/>
    <mergeCell ref="I6:J6"/>
    <mergeCell ref="I8:J8"/>
    <mergeCell ref="I9:J9"/>
    <mergeCell ref="I10:J10"/>
  </mergeCells>
  <conditionalFormatting sqref="BA6:BK6 O6 AM6 AO6 AQ6 AS6 AW6 AU6 Q6 S6 U6 W6 Y6 AA6 AC6 AE6 AG6 AI6 AK6 B16:C16">
    <cfRule type="expression" dxfId="143" priority="54">
      <formula>ROW()=CELL("Row")</formula>
    </cfRule>
  </conditionalFormatting>
  <conditionalFormatting sqref="P13:P16">
    <cfRule type="expression" dxfId="142" priority="53">
      <formula>(($D13=$D$8)*($O$8=""))+(($D13=$D$9)*($O$9=""))+(($D13=$D$10)*($O$10=""))+(($D13=$D$11)*($O$11=""))</formula>
    </cfRule>
  </conditionalFormatting>
  <conditionalFormatting sqref="R13">
    <cfRule type="expression" dxfId="141" priority="52">
      <formula>(($D13=$D$8)*($O$8=""))+(($D13=$D$9)*($O$9=""))+(($D13=$D$10)*($O$10=""))+(($D13=$D$11)*($O$11=""))</formula>
    </cfRule>
  </conditionalFormatting>
  <conditionalFormatting sqref="T13">
    <cfRule type="expression" dxfId="140" priority="51">
      <formula>(($D13=$D$8)*($O$8=""))+(($D13=$D$9)*($O$9=""))+(($D13=$D$10)*($O$10=""))+(($D13=$D$11)*($O$11=""))</formula>
    </cfRule>
  </conditionalFormatting>
  <conditionalFormatting sqref="V13">
    <cfRule type="expression" dxfId="139" priority="50">
      <formula>(($D13=$D$8)*($O$8=""))+(($D13=$D$9)*($O$9=""))+(($D13=$D$10)*($O$10=""))+(($D13=$D$11)*($O$11=""))</formula>
    </cfRule>
  </conditionalFormatting>
  <conditionalFormatting sqref="Z13">
    <cfRule type="expression" dxfId="138" priority="49">
      <formula>(($D13=$D$8)*($O$8=""))+(($D13=$D$9)*($O$9=""))+(($D13=$D$10)*($O$10=""))+(($D13=$D$11)*($O$11=""))</formula>
    </cfRule>
  </conditionalFormatting>
  <conditionalFormatting sqref="AD13:AD16">
    <cfRule type="expression" dxfId="137" priority="48">
      <formula>(($D13=$D$8)*($O$8=""))+(($D13=$D$9)*($O$9=""))+(($D13=$D$10)*($O$10=""))+(($D13=$D$11)*($O$11=""))</formula>
    </cfRule>
  </conditionalFormatting>
  <conditionalFormatting sqref="AF13:AF16">
    <cfRule type="expression" dxfId="136" priority="47">
      <formula>(($D13=$D$8)*($O$8=""))+(($D13=$D$9)*($O$9=""))+(($D13=$D$10)*($O$10=""))+(($D13=$D$11)*($O$11=""))</formula>
    </cfRule>
  </conditionalFormatting>
  <conditionalFormatting sqref="AH14">
    <cfRule type="expression" dxfId="135" priority="46">
      <formula>(($D14=$D$8)*($O$8=""))+(($D14=$D$9)*($O$9=""))+(($D14=$D$10)*($O$10=""))+(($D14=$D$11)*($O$11=""))</formula>
    </cfRule>
  </conditionalFormatting>
  <conditionalFormatting sqref="AH15">
    <cfRule type="expression" dxfId="134" priority="45">
      <formula>(($D15=$D$8)*($O$8=""))+(($D15=$D$9)*($O$9=""))+(($D15=$D$10)*($O$10=""))+(($D15=$D$11)*($O$11=""))</formula>
    </cfRule>
  </conditionalFormatting>
  <conditionalFormatting sqref="AH16">
    <cfRule type="expression" dxfId="133" priority="44">
      <formula>(($D16=$D$8)*($O$8=""))+(($D16=$D$9)*($O$9=""))+(($D16=$D$10)*($O$10=""))+(($D16=$D$11)*($O$11=""))</formula>
    </cfRule>
  </conditionalFormatting>
  <conditionalFormatting sqref="AJ13">
    <cfRule type="expression" dxfId="132" priority="43">
      <formula>(($D13=$D$8)*($O$8=""))+(($D13=$D$9)*($O$9=""))+(($D13=$D$10)*($O$10=""))+(($D13=$D$11)*($O$11=""))</formula>
    </cfRule>
  </conditionalFormatting>
  <conditionalFormatting sqref="AJ14">
    <cfRule type="expression" dxfId="131" priority="42">
      <formula>(($D14=$D$8)*($O$8=""))+(($D14=$D$9)*($O$9=""))+(($D14=$D$10)*($O$10=""))+(($D14=$D$11)*($O$11=""))</formula>
    </cfRule>
  </conditionalFormatting>
  <conditionalFormatting sqref="AJ15">
    <cfRule type="expression" dxfId="130" priority="41">
      <formula>(($D15=$D$8)*($O$8=""))+(($D15=$D$9)*($O$9=""))+(($D15=$D$10)*($O$10=""))+(($D15=$D$11)*($O$11=""))</formula>
    </cfRule>
  </conditionalFormatting>
  <conditionalFormatting sqref="AJ16">
    <cfRule type="expression" dxfId="129" priority="40">
      <formula>(($D16=$D$8)*($O$8=""))+(($D16=$D$9)*($O$9=""))+(($D16=$D$10)*($O$10=""))+(($D16=$D$11)*($O$11=""))</formula>
    </cfRule>
  </conditionalFormatting>
  <conditionalFormatting sqref="AL13">
    <cfRule type="expression" dxfId="128" priority="39">
      <formula>(($D13=$D$8)*($O$8=""))+(($D13=$D$9)*($O$9=""))+(($D13=$D$10)*($O$10=""))+(($D13=$D$11)*($O$11=""))</formula>
    </cfRule>
  </conditionalFormatting>
  <conditionalFormatting sqref="AL14">
    <cfRule type="expression" dxfId="127" priority="38">
      <formula>(($D14=$D$8)*($O$8=""))+(($D14=$D$9)*($O$9=""))+(($D14=$D$10)*($O$10=""))+(($D14=$D$11)*($O$11=""))</formula>
    </cfRule>
  </conditionalFormatting>
  <conditionalFormatting sqref="AL15">
    <cfRule type="expression" dxfId="126" priority="37">
      <formula>(($D15=$D$8)*($O$8=""))+(($D15=$D$9)*($O$9=""))+(($D15=$D$10)*($O$10=""))+(($D15=$D$11)*($O$11=""))</formula>
    </cfRule>
  </conditionalFormatting>
  <conditionalFormatting sqref="AL16">
    <cfRule type="expression" dxfId="125" priority="36">
      <formula>(($D16=$D$8)*($O$8=""))+(($D16=$D$9)*($O$9=""))+(($D16=$D$10)*($O$10=""))+(($D16=$D$11)*($O$11=""))</formula>
    </cfRule>
  </conditionalFormatting>
  <conditionalFormatting sqref="AN13">
    <cfRule type="expression" dxfId="124" priority="35">
      <formula>(($D13=$D$8)*($O$8=""))+(($D13=$D$9)*($O$9=""))+(($D13=$D$10)*($O$10=""))+(($D13=$D$11)*($O$11=""))</formula>
    </cfRule>
  </conditionalFormatting>
  <conditionalFormatting sqref="AN14">
    <cfRule type="expression" dxfId="123" priority="34">
      <formula>(($D14=$D$8)*($O$8=""))+(($D14=$D$9)*($O$9=""))+(($D14=$D$10)*($O$10=""))+(($D14=$D$11)*($O$11=""))</formula>
    </cfRule>
  </conditionalFormatting>
  <conditionalFormatting sqref="AN15">
    <cfRule type="expression" dxfId="122" priority="33">
      <formula>(($D15=$D$8)*($O$8=""))+(($D15=$D$9)*($O$9=""))+(($D15=$D$10)*($O$10=""))+(($D15=$D$11)*($O$11=""))</formula>
    </cfRule>
  </conditionalFormatting>
  <conditionalFormatting sqref="AN16">
    <cfRule type="expression" dxfId="121" priority="32">
      <formula>(($D16=$D$8)*($O$8=""))+(($D16=$D$9)*($O$9=""))+(($D16=$D$10)*($O$10=""))+(($D16=$D$11)*($O$11=""))</formula>
    </cfRule>
  </conditionalFormatting>
  <conditionalFormatting sqref="AP13">
    <cfRule type="expression" dxfId="120" priority="31">
      <formula>(($D13=$D$8)*($O$8=""))+(($D13=$D$9)*($O$9=""))+(($D13=$D$10)*($O$10=""))+(($D13=$D$11)*($O$11=""))</formula>
    </cfRule>
  </conditionalFormatting>
  <conditionalFormatting sqref="AP14">
    <cfRule type="expression" dxfId="119" priority="30">
      <formula>(($D14=$D$8)*($O$8=""))+(($D14=$D$9)*($O$9=""))+(($D14=$D$10)*($O$10=""))+(($D14=$D$11)*($O$11=""))</formula>
    </cfRule>
  </conditionalFormatting>
  <conditionalFormatting sqref="AP15">
    <cfRule type="expression" dxfId="118" priority="29">
      <formula>(($D15=$D$8)*($O$8=""))+(($D15=$D$9)*($O$9=""))+(($D15=$D$10)*($O$10=""))+(($D15=$D$11)*($O$11=""))</formula>
    </cfRule>
  </conditionalFormatting>
  <conditionalFormatting sqref="AP16">
    <cfRule type="expression" dxfId="117" priority="28">
      <formula>(($D16=$D$8)*($O$8=""))+(($D16=$D$9)*($O$9=""))+(($D16=$D$10)*($O$10=""))+(($D16=$D$11)*($O$11=""))</formula>
    </cfRule>
  </conditionalFormatting>
  <conditionalFormatting sqref="AR13">
    <cfRule type="expression" dxfId="116" priority="27">
      <formula>(($D13=$D$8)*($O$8=""))+(($D13=$D$9)*($O$9=""))+(($D13=$D$10)*($O$10=""))+(($D13=$D$11)*($O$11=""))</formula>
    </cfRule>
  </conditionalFormatting>
  <conditionalFormatting sqref="AR14">
    <cfRule type="expression" dxfId="115" priority="26">
      <formula>(($D14=$D$8)*($O$8=""))+(($D14=$D$9)*($O$9=""))+(($D14=$D$10)*($O$10=""))+(($D14=$D$11)*($O$11=""))</formula>
    </cfRule>
  </conditionalFormatting>
  <conditionalFormatting sqref="AR15">
    <cfRule type="expression" dxfId="114" priority="25">
      <formula>(($D15=$D$8)*($O$8=""))+(($D15=$D$9)*($O$9=""))+(($D15=$D$10)*($O$10=""))+(($D15=$D$11)*($O$11=""))</formula>
    </cfRule>
  </conditionalFormatting>
  <conditionalFormatting sqref="AR16">
    <cfRule type="expression" dxfId="113" priority="24">
      <formula>(($D16=$D$8)*($O$8=""))+(($D16=$D$9)*($O$9=""))+(($D16=$D$10)*($O$10=""))+(($D16=$D$11)*($O$11=""))</formula>
    </cfRule>
  </conditionalFormatting>
  <conditionalFormatting sqref="AT13">
    <cfRule type="expression" dxfId="112" priority="23">
      <formula>(($D13=$D$8)*($O$8=""))+(($D13=$D$9)*($O$9=""))+(($D13=$D$10)*($O$10=""))+(($D13=$D$11)*($O$11=""))</formula>
    </cfRule>
  </conditionalFormatting>
  <conditionalFormatting sqref="AV13">
    <cfRule type="expression" dxfId="111" priority="22">
      <formula>(($D13=$D$8)*($O$8=""))+(($D13=$D$9)*($O$9=""))+(($D13=$D$10)*($O$10=""))+(($D13=$D$11)*($O$11=""))</formula>
    </cfRule>
  </conditionalFormatting>
  <conditionalFormatting sqref="AV14">
    <cfRule type="expression" dxfId="110" priority="21">
      <formula>(($D14=$D$8)*($O$8=""))+(($D14=$D$9)*($O$9=""))+(($D14=$D$10)*($O$10=""))+(($D14=$D$11)*($O$11=""))</formula>
    </cfRule>
  </conditionalFormatting>
  <conditionalFormatting sqref="AV15">
    <cfRule type="expression" dxfId="109" priority="20">
      <formula>(($D15=$D$8)*($O$8=""))+(($D15=$D$9)*($O$9=""))+(($D15=$D$10)*($O$10=""))+(($D15=$D$11)*($O$11=""))</formula>
    </cfRule>
  </conditionalFormatting>
  <conditionalFormatting sqref="AV16">
    <cfRule type="expression" dxfId="108" priority="19">
      <formula>(($D16=$D$8)*($O$8=""))+(($D16=$D$9)*($O$9=""))+(($D16=$D$10)*($O$10=""))+(($D16=$D$11)*($O$11=""))</formula>
    </cfRule>
  </conditionalFormatting>
  <conditionalFormatting sqref="AT14">
    <cfRule type="expression" dxfId="107" priority="18">
      <formula>(($D14=$D$8)*($O$8=""))+(($D14=$D$9)*($O$9=""))+(($D14=$D$10)*($O$10=""))+(($D14=$D$11)*($O$11=""))</formula>
    </cfRule>
  </conditionalFormatting>
  <conditionalFormatting sqref="AT15">
    <cfRule type="expression" dxfId="106" priority="17">
      <formula>(($D15=$D$8)*($O$8=""))+(($D15=$D$9)*($O$9=""))+(($D15=$D$10)*($O$10=""))+(($D15=$D$11)*($O$11=""))</formula>
    </cfRule>
  </conditionalFormatting>
  <conditionalFormatting sqref="AT16">
    <cfRule type="expression" dxfId="105" priority="16">
      <formula>(($D16=$D$8)*($O$8=""))+(($D16=$D$9)*($O$9=""))+(($D16=$D$10)*($O$10=""))+(($D16=$D$11)*($O$11=""))</formula>
    </cfRule>
  </conditionalFormatting>
  <conditionalFormatting sqref="M6">
    <cfRule type="expression" dxfId="104" priority="15">
      <formula>ROW()=CELL("Row")</formula>
    </cfRule>
  </conditionalFormatting>
  <conditionalFormatting sqref="K6">
    <cfRule type="expression" dxfId="103" priority="14">
      <formula>ROW()=CELL("Row")</formula>
    </cfRule>
  </conditionalFormatting>
  <conditionalFormatting sqref="I6">
    <cfRule type="expression" dxfId="102" priority="13">
      <formula>ROW()=CELL("Row")</formula>
    </cfRule>
  </conditionalFormatting>
  <conditionalFormatting sqref="AB13:AB16">
    <cfRule type="expression" dxfId="101" priority="12">
      <formula>(($D13=$D$8)*($O$8=""))+(($D13=$D$9)*($O$9=""))+(($D13=$D$10)*($O$10=""))+(($D13=$D$11)*($O$11=""))</formula>
    </cfRule>
  </conditionalFormatting>
  <conditionalFormatting sqref="X13">
    <cfRule type="expression" dxfId="100" priority="11">
      <formula>(($D13=$D$8)*($O$8=""))+(($D13=$D$9)*($O$9=""))+(($D13=$D$10)*($O$10=""))+(($D13=$D$11)*($O$11=""))</formula>
    </cfRule>
  </conditionalFormatting>
  <conditionalFormatting sqref="A20">
    <cfRule type="expression" dxfId="99" priority="55">
      <formula>(($B20=$D$8)*($N$8=""))+(($B20=$D$9)*($N$9=""))+(($B20=$D$10)*($N$10=""))+(($B20=$D$11)*($N$11=""))</formula>
    </cfRule>
  </conditionalFormatting>
  <conditionalFormatting sqref="J17:J103 J13">
    <cfRule type="expression" dxfId="98" priority="8">
      <formula>$A13="C"</formula>
    </cfRule>
  </conditionalFormatting>
  <conditionalFormatting sqref="L13 L17:L108">
    <cfRule type="expression" dxfId="97" priority="7">
      <formula>$A13="C"</formula>
    </cfRule>
  </conditionalFormatting>
  <conditionalFormatting sqref="N13 N17:N103">
    <cfRule type="expression" dxfId="96" priority="6">
      <formula>$A13="C"</formula>
    </cfRule>
  </conditionalFormatting>
  <conditionalFormatting sqref="L14:L16">
    <cfRule type="expression" dxfId="95" priority="5">
      <formula>$A14="C"</formula>
    </cfRule>
  </conditionalFormatting>
  <conditionalFormatting sqref="J15:J16">
    <cfRule type="expression" dxfId="94" priority="4">
      <formula>$A15="C"</formula>
    </cfRule>
  </conditionalFormatting>
  <conditionalFormatting sqref="N14:N16">
    <cfRule type="expression" dxfId="93" priority="3">
      <formula>$A14="C"</formula>
    </cfRule>
  </conditionalFormatting>
  <conditionalFormatting sqref="J14">
    <cfRule type="expression" dxfId="92" priority="2">
      <formula>$A14="C"</formula>
    </cfRule>
  </conditionalFormatting>
  <conditionalFormatting sqref="G13:AE23">
    <cfRule type="cellIs" dxfId="91" priority="1" operator="equal">
      <formula>0</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4C841-4BDE-48ED-BB2F-6F235C5A3C7E}">
  <sheetPr codeName="Sheet8"/>
  <dimension ref="B1:AK41"/>
  <sheetViews>
    <sheetView showGridLines="0" tabSelected="1" zoomScale="70" zoomScaleNormal="70" workbookViewId="0">
      <selection activeCell="L25" sqref="L25"/>
    </sheetView>
  </sheetViews>
  <sheetFormatPr defaultRowHeight="15" customHeight="1"/>
  <cols>
    <col min="2" max="2" width="7.1796875" customWidth="1"/>
    <col min="3" max="3" width="13.81640625" customWidth="1"/>
    <col min="4" max="4" width="13.26953125" customWidth="1"/>
    <col min="5" max="5" width="7.54296875" customWidth="1"/>
    <col min="6" max="9" width="9.1796875" bestFit="1" customWidth="1"/>
    <col min="10" max="10" width="10.26953125" customWidth="1"/>
    <col min="11" max="11" width="22.453125" customWidth="1"/>
    <col min="12" max="12" width="44.453125" customWidth="1"/>
    <col min="13" max="13" width="41.1796875" customWidth="1"/>
    <col min="14" max="14" width="38.54296875" customWidth="1"/>
    <col min="15" max="17" width="10.453125" customWidth="1"/>
    <col min="18" max="18" width="11.453125" customWidth="1"/>
    <col min="19" max="19" width="17.1796875" style="148" customWidth="1"/>
    <col min="20" max="25" width="9.1796875" bestFit="1" customWidth="1"/>
    <col min="26" max="26" width="5.7265625" bestFit="1" customWidth="1"/>
    <col min="27" max="27" width="18.81640625" bestFit="1" customWidth="1"/>
    <col min="28" max="29" width="9.453125" bestFit="1" customWidth="1"/>
    <col min="30" max="30" width="11.26953125" bestFit="1" customWidth="1"/>
    <col min="31" max="31" width="27.7265625" bestFit="1" customWidth="1"/>
    <col min="32" max="33" width="9.81640625" bestFit="1" customWidth="1"/>
    <col min="34" max="35" width="11" bestFit="1" customWidth="1"/>
    <col min="36" max="36" width="28.26953125" bestFit="1" customWidth="1"/>
  </cols>
  <sheetData>
    <row r="1" spans="2:37" s="170" customFormat="1" ht="14.5"/>
    <row r="2" spans="2:37" s="170" customFormat="1" ht="14.5"/>
    <row r="3" spans="2:37" s="170" customFormat="1" ht="14.5"/>
    <row r="4" spans="2:37" ht="18.5">
      <c r="D4" s="171" t="s">
        <v>77</v>
      </c>
      <c r="E4" s="172">
        <f>E5*0.23</f>
        <v>1.4950000000000001</v>
      </c>
      <c r="F4" s="172">
        <f t="shared" ref="F4:I4" si="0">F5*0.23</f>
        <v>1.37425</v>
      </c>
      <c r="G4" s="172">
        <f t="shared" si="0"/>
        <v>1.4490000000000001</v>
      </c>
      <c r="H4" s="172">
        <f t="shared" si="0"/>
        <v>0.94299999999999995</v>
      </c>
      <c r="I4" s="172">
        <f t="shared" si="0"/>
        <v>0.90850000000000009</v>
      </c>
      <c r="S4"/>
    </row>
    <row r="5" spans="2:37" ht="15" customHeight="1">
      <c r="D5" s="171" t="s">
        <v>78</v>
      </c>
      <c r="E5" s="172">
        <f>E6/5</f>
        <v>6.5</v>
      </c>
      <c r="F5" s="172">
        <f>F6/5</f>
        <v>5.9749999999999996</v>
      </c>
      <c r="G5" s="172">
        <f>G6/5</f>
        <v>6.3</v>
      </c>
      <c r="H5" s="172">
        <f>H6/5</f>
        <v>4.0999999999999996</v>
      </c>
      <c r="I5" s="172">
        <f>I6/5</f>
        <v>3.95</v>
      </c>
      <c r="K5" s="246" t="s">
        <v>79</v>
      </c>
      <c r="L5" s="246"/>
    </row>
    <row r="6" spans="2:37" ht="15" customHeight="1">
      <c r="D6" s="171" t="s">
        <v>80</v>
      </c>
      <c r="E6" s="172">
        <f>E7/8</f>
        <v>32.5</v>
      </c>
      <c r="F6" s="172">
        <f>F7/8</f>
        <v>29.875</v>
      </c>
      <c r="G6" s="172">
        <f>G7/8</f>
        <v>31.5</v>
      </c>
      <c r="H6" s="172">
        <f>H7/8</f>
        <v>20.5</v>
      </c>
      <c r="I6" s="172">
        <f>I7/8</f>
        <v>19.75</v>
      </c>
      <c r="K6" s="246"/>
      <c r="L6" s="246"/>
    </row>
    <row r="7" spans="2:37" ht="18.5">
      <c r="D7" s="171" t="s">
        <v>81</v>
      </c>
      <c r="E7" s="172" cm="1">
        <f t="array" ref="E7">SUM(IF(E9:E50="x",$O$9:$O$50,0))</f>
        <v>260</v>
      </c>
      <c r="F7" s="172" cm="1">
        <f t="array" ref="F7">SUM(IF(F9:F50="x",$O$9:$O$50,0))</f>
        <v>239</v>
      </c>
      <c r="G7" s="172" cm="1">
        <f t="array" ref="G7">SUM(IF(G9:G50="x",$O$9:$O$50,0))</f>
        <v>252</v>
      </c>
      <c r="H7" s="172" cm="1">
        <f t="array" ref="H7">SUM(IF(H9:H50="x",$O$9:$O$50,0))</f>
        <v>164</v>
      </c>
      <c r="I7" s="172" cm="1">
        <f t="array" ref="I7">SUM(IF(I9:I50="x",$O$9:$O$50,0))</f>
        <v>158</v>
      </c>
      <c r="V7" t="s">
        <v>82</v>
      </c>
      <c r="W7" s="149">
        <v>3</v>
      </c>
      <c r="X7" s="150">
        <v>2.5</v>
      </c>
      <c r="Y7">
        <f t="shared" ref="Y7:AJ7" si="1">Y8/8</f>
        <v>2</v>
      </c>
      <c r="Z7">
        <f t="shared" si="1"/>
        <v>11</v>
      </c>
      <c r="AA7">
        <f t="shared" si="1"/>
        <v>2</v>
      </c>
      <c r="AB7">
        <f t="shared" si="1"/>
        <v>4</v>
      </c>
      <c r="AC7">
        <f t="shared" si="1"/>
        <v>2.25</v>
      </c>
      <c r="AD7">
        <f t="shared" si="1"/>
        <v>0.5</v>
      </c>
      <c r="AE7">
        <f t="shared" si="1"/>
        <v>0.5</v>
      </c>
      <c r="AF7">
        <f t="shared" si="1"/>
        <v>0.5</v>
      </c>
      <c r="AG7">
        <f t="shared" si="1"/>
        <v>0.375</v>
      </c>
      <c r="AH7">
        <f t="shared" si="1"/>
        <v>0.5</v>
      </c>
      <c r="AI7">
        <f t="shared" si="1"/>
        <v>0.5</v>
      </c>
      <c r="AJ7">
        <f t="shared" si="1"/>
        <v>7.5</v>
      </c>
    </row>
    <row r="8" spans="2:37" ht="23.5">
      <c r="B8" s="151" t="s">
        <v>83</v>
      </c>
      <c r="C8" s="151" t="s">
        <v>30</v>
      </c>
      <c r="D8" s="151" t="s">
        <v>75</v>
      </c>
      <c r="E8" s="151" t="s">
        <v>84</v>
      </c>
      <c r="F8" s="151" t="s">
        <v>40</v>
      </c>
      <c r="G8" s="151" t="s">
        <v>85</v>
      </c>
      <c r="H8" s="151" t="s">
        <v>43</v>
      </c>
      <c r="I8" s="151" t="s">
        <v>44</v>
      </c>
      <c r="J8" s="151" t="s">
        <v>86</v>
      </c>
      <c r="K8" s="152" t="s">
        <v>87</v>
      </c>
      <c r="L8" s="152" t="s">
        <v>88</v>
      </c>
      <c r="M8" s="152" t="s">
        <v>89</v>
      </c>
      <c r="N8" s="152" t="s">
        <v>90</v>
      </c>
      <c r="O8" s="152" t="s">
        <v>25</v>
      </c>
      <c r="P8" s="153" t="s">
        <v>91</v>
      </c>
      <c r="Q8" s="153" t="s">
        <v>92</v>
      </c>
      <c r="R8" s="154" t="s">
        <v>93</v>
      </c>
      <c r="S8" s="155" t="s">
        <v>94</v>
      </c>
      <c r="V8" t="s">
        <v>95</v>
      </c>
      <c r="W8" s="156" t="s">
        <v>0</v>
      </c>
      <c r="X8" s="157">
        <v>25</v>
      </c>
      <c r="Y8" s="7">
        <v>16</v>
      </c>
      <c r="Z8" s="7">
        <v>88</v>
      </c>
      <c r="AA8" s="7">
        <v>16</v>
      </c>
      <c r="AB8" s="7">
        <v>32</v>
      </c>
      <c r="AC8" s="7">
        <v>18</v>
      </c>
      <c r="AD8" s="7">
        <v>4</v>
      </c>
      <c r="AE8" s="7">
        <v>4</v>
      </c>
      <c r="AF8" s="7">
        <v>4</v>
      </c>
      <c r="AG8" s="7">
        <v>3</v>
      </c>
      <c r="AH8" s="7">
        <v>4</v>
      </c>
      <c r="AI8" s="7">
        <v>4</v>
      </c>
      <c r="AJ8" s="7">
        <v>60</v>
      </c>
    </row>
    <row r="9" spans="2:37" ht="14.5" hidden="1">
      <c r="B9" s="6"/>
      <c r="C9" s="6"/>
      <c r="D9" s="6"/>
      <c r="E9" s="6"/>
      <c r="F9" s="6"/>
      <c r="G9" s="6"/>
      <c r="H9" s="6"/>
      <c r="I9" s="6"/>
      <c r="J9" s="7"/>
      <c r="K9" s="7"/>
      <c r="L9" s="7"/>
      <c r="M9" s="7"/>
      <c r="N9" s="7"/>
      <c r="O9" s="7"/>
      <c r="P9" s="7"/>
      <c r="Q9" s="7"/>
      <c r="R9" s="7"/>
      <c r="S9" s="176" t="str" cm="1">
        <f t="array" ref="S9">GetURL(Table234[[#This Row],[Link]])</f>
        <v/>
      </c>
      <c r="W9" s="158" t="s">
        <v>28</v>
      </c>
      <c r="X9" s="158" t="s">
        <v>29</v>
      </c>
      <c r="Y9" s="21" t="s">
        <v>96</v>
      </c>
      <c r="Z9" s="21" t="s">
        <v>30</v>
      </c>
      <c r="AA9" s="21" t="s">
        <v>97</v>
      </c>
      <c r="AB9" s="159" t="s">
        <v>98</v>
      </c>
      <c r="AC9" s="159" t="s">
        <v>99</v>
      </c>
      <c r="AD9" s="21" t="s">
        <v>100</v>
      </c>
      <c r="AE9" s="21" t="s">
        <v>101</v>
      </c>
      <c r="AF9" s="21" t="s">
        <v>102</v>
      </c>
      <c r="AG9" s="21" t="s">
        <v>103</v>
      </c>
      <c r="AH9" s="21" t="s">
        <v>104</v>
      </c>
      <c r="AI9" s="21" t="s">
        <v>105</v>
      </c>
      <c r="AJ9" s="21" t="s">
        <v>106</v>
      </c>
    </row>
    <row r="10" spans="2:37" ht="13.5" customHeight="1">
      <c r="B10" s="6" t="s">
        <v>41</v>
      </c>
      <c r="C10" s="6" t="s">
        <v>41</v>
      </c>
      <c r="D10" s="6" t="s">
        <v>41</v>
      </c>
      <c r="E10" s="6" t="s">
        <v>41</v>
      </c>
      <c r="F10" s="6" t="s">
        <v>41</v>
      </c>
      <c r="G10" s="6" t="s">
        <v>41</v>
      </c>
      <c r="H10" s="6" t="s">
        <v>41</v>
      </c>
      <c r="I10" s="6" t="s">
        <v>41</v>
      </c>
      <c r="J10" s="7">
        <v>2</v>
      </c>
      <c r="K10" s="7" t="s">
        <v>96</v>
      </c>
      <c r="L10" s="7" t="s">
        <v>107</v>
      </c>
      <c r="M10" s="160" t="s">
        <v>108</v>
      </c>
      <c r="N10" s="118" t="s">
        <v>109</v>
      </c>
      <c r="O10" s="7">
        <v>16</v>
      </c>
      <c r="P10" s="7">
        <v>4.3</v>
      </c>
      <c r="Q10" s="7">
        <v>13120</v>
      </c>
      <c r="R10" s="56">
        <v>1315</v>
      </c>
      <c r="S10" s="175" t="str" cm="1">
        <f t="array" ref="S10">GetURL(Table234[[#This Row],[Link]])</f>
        <v>https://deloittedevelopment.udemy.com/course/design-patterns-javascript/?src=sac&amp;kw=javascript+patt</v>
      </c>
      <c r="V10" t="s">
        <v>40</v>
      </c>
      <c r="W10" s="158" t="s">
        <v>0</v>
      </c>
      <c r="X10" s="158" t="s">
        <v>0</v>
      </c>
      <c r="Y10" s="53" t="s">
        <v>41</v>
      </c>
      <c r="Z10" s="53" t="s">
        <v>41</v>
      </c>
      <c r="AA10" s="53" t="s">
        <v>41</v>
      </c>
      <c r="AB10" s="53"/>
      <c r="AC10" s="53"/>
      <c r="AD10" s="53" t="s">
        <v>41</v>
      </c>
      <c r="AE10" s="53" t="s">
        <v>41</v>
      </c>
      <c r="AF10" s="53"/>
      <c r="AG10" s="53"/>
      <c r="AH10" s="53"/>
      <c r="AI10" s="53"/>
      <c r="AJ10" s="53"/>
    </row>
    <row r="11" spans="2:37" ht="29.25" customHeight="1">
      <c r="B11" s="6" t="s">
        <v>41</v>
      </c>
      <c r="C11" s="6" t="s">
        <v>41</v>
      </c>
      <c r="D11" s="6"/>
      <c r="E11" s="6" t="s">
        <v>41</v>
      </c>
      <c r="F11" s="6" t="s">
        <v>41</v>
      </c>
      <c r="G11" s="6" t="s">
        <v>41</v>
      </c>
      <c r="H11" s="6"/>
      <c r="I11" s="6"/>
      <c r="J11" s="7">
        <v>3</v>
      </c>
      <c r="K11" s="7" t="s">
        <v>30</v>
      </c>
      <c r="L11" s="7" t="s">
        <v>110</v>
      </c>
      <c r="M11" s="160" t="s">
        <v>111</v>
      </c>
      <c r="N11" s="119" t="s">
        <v>109</v>
      </c>
      <c r="O11" s="7">
        <v>88</v>
      </c>
      <c r="P11" s="7">
        <v>4.5999999999999996</v>
      </c>
      <c r="Q11" s="7">
        <v>654827</v>
      </c>
      <c r="R11" s="56">
        <v>167239</v>
      </c>
      <c r="S11" s="175" t="str" cm="1">
        <f t="array" ref="S11">GetURL(Table234[[#This Row],[Link]])</f>
        <v>https://deloittedevelopment.udemy.com/course/react-the-complete-guide-incl-redux/learn/lecture/25595350</v>
      </c>
      <c r="V11" t="s">
        <v>85</v>
      </c>
      <c r="W11" s="158" t="s">
        <v>0</v>
      </c>
      <c r="X11" s="158" t="s">
        <v>0</v>
      </c>
      <c r="Y11" s="53" t="s">
        <v>41</v>
      </c>
      <c r="Z11" s="53" t="s">
        <v>41</v>
      </c>
      <c r="AA11" s="53" t="s">
        <v>41</v>
      </c>
      <c r="AB11" s="53"/>
      <c r="AC11" s="53"/>
      <c r="AD11" s="53" t="s">
        <v>41</v>
      </c>
      <c r="AE11" s="53" t="s">
        <v>41</v>
      </c>
      <c r="AF11" s="53" t="s">
        <v>41</v>
      </c>
      <c r="AG11" s="53" t="s">
        <v>41</v>
      </c>
      <c r="AH11" s="53"/>
      <c r="AI11" s="53"/>
      <c r="AJ11" s="53"/>
    </row>
    <row r="12" spans="2:37" ht="29" hidden="1">
      <c r="B12" s="6"/>
      <c r="C12" s="6"/>
      <c r="D12" s="6"/>
      <c r="E12" s="6" t="s">
        <v>41</v>
      </c>
      <c r="F12" s="6"/>
      <c r="G12" s="6" t="s">
        <v>41</v>
      </c>
      <c r="H12" s="6" t="s">
        <v>41</v>
      </c>
      <c r="K12" s="7" t="s">
        <v>112</v>
      </c>
      <c r="L12" s="127" t="s">
        <v>113</v>
      </c>
      <c r="M12" s="128" t="s">
        <v>114</v>
      </c>
      <c r="N12" t="s">
        <v>115</v>
      </c>
      <c r="O12">
        <v>6</v>
      </c>
      <c r="P12">
        <v>4.3</v>
      </c>
      <c r="Q12" s="142">
        <v>1589</v>
      </c>
      <c r="R12" s="143">
        <v>44013</v>
      </c>
      <c r="S12" s="175" t="str" cm="1">
        <f t="array" ref="S12">GetURL(Table234[[#This Row],[Link]])</f>
        <v>https://deloittedevelopment.udemy.com/course/the-complete-guide-to-advanced-react-patterns/</v>
      </c>
      <c r="W12" s="158"/>
      <c r="X12" s="158"/>
      <c r="Y12" s="53"/>
      <c r="Z12" s="53"/>
      <c r="AA12" s="53"/>
      <c r="AB12" s="53"/>
      <c r="AC12" s="53"/>
      <c r="AD12" s="53"/>
      <c r="AE12" s="53"/>
      <c r="AF12" s="53"/>
      <c r="AG12" s="53"/>
      <c r="AH12" s="53"/>
      <c r="AI12" s="53"/>
      <c r="AJ12" s="53"/>
    </row>
    <row r="13" spans="2:37" ht="35.25" customHeight="1">
      <c r="B13" s="6" t="s">
        <v>41</v>
      </c>
      <c r="C13" s="6" t="s">
        <v>41</v>
      </c>
      <c r="D13" s="6"/>
      <c r="E13" s="6" t="s">
        <v>41</v>
      </c>
      <c r="F13" s="6" t="s">
        <v>41</v>
      </c>
      <c r="G13" s="6" t="s">
        <v>41</v>
      </c>
      <c r="H13" s="6" t="s">
        <v>41</v>
      </c>
      <c r="I13" s="6" t="s">
        <v>41</v>
      </c>
      <c r="J13" s="7">
        <v>4</v>
      </c>
      <c r="K13" s="7" t="s">
        <v>116</v>
      </c>
      <c r="L13" s="7" t="s">
        <v>117</v>
      </c>
      <c r="M13" s="160" t="s">
        <v>118</v>
      </c>
      <c r="N13" s="119" t="s">
        <v>109</v>
      </c>
      <c r="O13" s="7">
        <v>16</v>
      </c>
      <c r="P13" s="7">
        <v>4.5999999999999996</v>
      </c>
      <c r="Q13" s="7">
        <v>25296</v>
      </c>
      <c r="R13" s="56">
        <v>4350</v>
      </c>
      <c r="S13" s="175" t="str" cm="1">
        <f t="array" ref="S13">GetURL(Table234[[#This Row],[Link]])</f>
        <v>https://deloittedevelopment.udemy.com/course/react-testing-library/</v>
      </c>
      <c r="V13" t="s">
        <v>43</v>
      </c>
      <c r="W13" s="158" t="s">
        <v>0</v>
      </c>
      <c r="X13" s="158" t="s">
        <v>0</v>
      </c>
      <c r="Y13" s="53" t="s">
        <v>41</v>
      </c>
      <c r="Z13" s="53"/>
      <c r="AA13" s="53" t="s">
        <v>41</v>
      </c>
      <c r="AB13" s="53"/>
      <c r="AC13" s="53"/>
      <c r="AD13" s="53"/>
      <c r="AE13" s="53"/>
      <c r="AF13" s="53" t="s">
        <v>41</v>
      </c>
      <c r="AG13" s="53" t="s">
        <v>41</v>
      </c>
      <c r="AH13" s="53" t="s">
        <v>41</v>
      </c>
      <c r="AI13" s="53" t="s">
        <v>41</v>
      </c>
      <c r="AJ13" s="53"/>
    </row>
    <row r="14" spans="2:37" ht="275.5">
      <c r="B14" s="6" t="s">
        <v>41</v>
      </c>
      <c r="C14" s="6" t="s">
        <v>41</v>
      </c>
      <c r="D14" s="6"/>
      <c r="E14" s="6" t="s">
        <v>41</v>
      </c>
      <c r="F14" s="6" t="s">
        <v>41</v>
      </c>
      <c r="G14" s="6" t="s">
        <v>41</v>
      </c>
      <c r="H14" s="6" t="s">
        <v>41</v>
      </c>
      <c r="I14" s="6" t="s">
        <v>41</v>
      </c>
      <c r="J14" s="7"/>
      <c r="K14" s="7" t="s">
        <v>98</v>
      </c>
      <c r="L14" s="7" t="s">
        <v>119</v>
      </c>
      <c r="M14" s="162" t="s">
        <v>120</v>
      </c>
      <c r="N14" s="119" t="s">
        <v>121</v>
      </c>
      <c r="O14" s="7">
        <v>32</v>
      </c>
      <c r="P14" s="7"/>
      <c r="Q14" s="7"/>
      <c r="R14" s="56"/>
      <c r="S14" s="175" t="str" cm="1">
        <f t="array" ref="S14">GetURL(Table234[[#This Row],[Link]])</f>
        <v/>
      </c>
      <c r="V14" t="s">
        <v>44</v>
      </c>
      <c r="W14" s="158" t="s">
        <v>0</v>
      </c>
      <c r="X14" s="158" t="s">
        <v>0</v>
      </c>
      <c r="Y14" s="53" t="s">
        <v>41</v>
      </c>
      <c r="Z14" s="53"/>
      <c r="AA14" s="53" t="s">
        <v>41</v>
      </c>
      <c r="AB14" s="53"/>
      <c r="AC14" s="53"/>
      <c r="AD14" s="53"/>
      <c r="AE14" s="53"/>
      <c r="AF14" s="53" t="s">
        <v>41</v>
      </c>
      <c r="AG14" s="53" t="s">
        <v>41</v>
      </c>
      <c r="AH14" s="53" t="s">
        <v>41</v>
      </c>
      <c r="AI14" s="53" t="s">
        <v>41</v>
      </c>
      <c r="AJ14" s="53"/>
    </row>
    <row r="15" spans="2:37" ht="14.5">
      <c r="B15" s="6" t="s">
        <v>41</v>
      </c>
      <c r="C15" s="6" t="s">
        <v>41</v>
      </c>
      <c r="D15" s="6"/>
      <c r="E15" s="6" t="s">
        <v>41</v>
      </c>
      <c r="F15" s="6" t="s">
        <v>41</v>
      </c>
      <c r="G15" s="6" t="s">
        <v>41</v>
      </c>
      <c r="H15" s="6" t="s">
        <v>41</v>
      </c>
      <c r="I15" s="6" t="s">
        <v>41</v>
      </c>
      <c r="J15" s="7"/>
      <c r="K15" s="7" t="s">
        <v>99</v>
      </c>
      <c r="L15" s="149" t="s">
        <v>122</v>
      </c>
      <c r="M15" s="160"/>
      <c r="N15" s="119" t="s">
        <v>121</v>
      </c>
      <c r="O15" s="7">
        <v>18</v>
      </c>
      <c r="P15" s="7"/>
      <c r="Q15" s="7"/>
      <c r="R15" s="56"/>
      <c r="S15" s="175" t="str" cm="1">
        <f t="array" ref="S15">GetURL(Table234[[#This Row],[Link]])</f>
        <v/>
      </c>
    </row>
    <row r="16" spans="2:37" ht="52.5" customHeight="1">
      <c r="B16" s="6" t="s">
        <v>41</v>
      </c>
      <c r="C16" s="6" t="s">
        <v>41</v>
      </c>
      <c r="D16" s="6"/>
      <c r="E16" s="6" t="s">
        <v>41</v>
      </c>
      <c r="F16" s="6" t="s">
        <v>41</v>
      </c>
      <c r="G16" s="6" t="s">
        <v>41</v>
      </c>
      <c r="H16" s="6"/>
      <c r="I16" s="6"/>
      <c r="J16" s="7"/>
      <c r="K16" s="7" t="s">
        <v>100</v>
      </c>
      <c r="L16" s="7" t="s">
        <v>123</v>
      </c>
      <c r="M16" s="160" t="s">
        <v>124</v>
      </c>
      <c r="N16" s="120" t="s">
        <v>125</v>
      </c>
      <c r="O16" s="7">
        <v>4</v>
      </c>
      <c r="P16" s="7" t="s">
        <v>126</v>
      </c>
      <c r="Q16" s="7" t="s">
        <v>127</v>
      </c>
      <c r="R16" s="56"/>
      <c r="S16" s="175" t="str" cm="1">
        <f t="array" ref="S16">GetURL(Table234[[#This Row],[Link]])</f>
        <v>https://deloittedevelopment.udemy.com/labs/create-a-calendar-to-display-event-data-with-react-typescript-and-css-grid/overview/</v>
      </c>
      <c r="AJ16" s="158" t="s">
        <v>28</v>
      </c>
      <c r="AK16" t="str">
        <f>_xlfn.CONCAT("MD ", AJ16)</f>
        <v>MD Deloitte</v>
      </c>
    </row>
    <row r="17" spans="2:37" ht="66" customHeight="1">
      <c r="B17" s="6" t="s">
        <v>41</v>
      </c>
      <c r="C17" s="6" t="s">
        <v>41</v>
      </c>
      <c r="D17" s="6"/>
      <c r="E17" s="6" t="s">
        <v>41</v>
      </c>
      <c r="F17" s="6" t="s">
        <v>41</v>
      </c>
      <c r="G17" s="6" t="s">
        <v>41</v>
      </c>
      <c r="H17" s="6"/>
      <c r="I17" s="6"/>
      <c r="J17" s="7"/>
      <c r="K17" s="7" t="s">
        <v>101</v>
      </c>
      <c r="L17" s="7" t="s">
        <v>128</v>
      </c>
      <c r="M17" s="160" t="s">
        <v>129</v>
      </c>
      <c r="N17" s="120" t="s">
        <v>125</v>
      </c>
      <c r="O17" s="7">
        <v>4</v>
      </c>
      <c r="P17" s="7" t="s">
        <v>126</v>
      </c>
      <c r="Q17" s="7"/>
      <c r="R17" s="56"/>
      <c r="S17" s="175" t="str" cm="1">
        <f t="array" ref="S17">GetURL(Table234[[#This Row],[Link]])</f>
        <v>https://deloittedevelopment.udemy.com/labs/add-search-filter-functionality-to-a-react-app/overview/</v>
      </c>
      <c r="W17" s="163">
        <v>3</v>
      </c>
      <c r="X17" s="163">
        <v>2.5</v>
      </c>
      <c r="Y17" s="66">
        <f t="shared" ref="Y17:AE17" si="2">Y19/8</f>
        <v>2</v>
      </c>
      <c r="Z17" s="66">
        <f t="shared" si="2"/>
        <v>10</v>
      </c>
      <c r="AA17" s="66">
        <f t="shared" si="2"/>
        <v>1</v>
      </c>
      <c r="AB17" s="66">
        <f t="shared" si="2"/>
        <v>4</v>
      </c>
      <c r="AC17" s="66">
        <f t="shared" si="2"/>
        <v>2.25</v>
      </c>
      <c r="AD17" s="66">
        <f t="shared" si="2"/>
        <v>0.5</v>
      </c>
      <c r="AE17" s="66">
        <f t="shared" si="2"/>
        <v>6</v>
      </c>
      <c r="AJ17" s="158" t="s">
        <v>29</v>
      </c>
      <c r="AK17" t="str">
        <f>_xlfn.CONCAT("MD ", AJ17)</f>
        <v>MD Dextra Processes</v>
      </c>
    </row>
    <row r="18" spans="2:37" ht="66" customHeight="1">
      <c r="B18" s="6" t="s">
        <v>41</v>
      </c>
      <c r="C18" s="6"/>
      <c r="D18" s="6"/>
      <c r="E18" s="6" t="s">
        <v>41</v>
      </c>
      <c r="F18" s="6" t="s">
        <v>41</v>
      </c>
      <c r="G18" s="6" t="s">
        <v>41</v>
      </c>
      <c r="H18" s="6" t="s">
        <v>41</v>
      </c>
      <c r="I18" s="6" t="s">
        <v>41</v>
      </c>
      <c r="J18" s="7"/>
      <c r="K18" s="7" t="s">
        <v>130</v>
      </c>
      <c r="L18" s="7" t="s">
        <v>131</v>
      </c>
      <c r="M18" s="128" t="s">
        <v>132</v>
      </c>
      <c r="N18" s="36"/>
      <c r="O18" s="7">
        <v>1</v>
      </c>
      <c r="P18" s="7" t="s">
        <v>69</v>
      </c>
      <c r="Q18" s="7"/>
      <c r="R18" s="56"/>
      <c r="S18" s="175" t="str" cm="1">
        <f t="array" ref="S18">GetURL(Table234[[#This Row],[Link]])</f>
        <v>https://www.simplilearn.com/tutorials/reactjs-tutorial/reactjs-interview-questions</v>
      </c>
      <c r="W18" s="163"/>
      <c r="X18" s="163"/>
      <c r="Y18" s="66"/>
      <c r="Z18" s="66"/>
      <c r="AA18" s="66"/>
      <c r="AB18" s="66"/>
      <c r="AC18" s="66"/>
      <c r="AD18" s="66"/>
      <c r="AE18" s="66"/>
      <c r="AJ18" s="164"/>
    </row>
    <row r="19" spans="2:37" ht="62.25" hidden="1" customHeight="1">
      <c r="B19" s="6" t="s">
        <v>41</v>
      </c>
      <c r="C19" s="6" t="s">
        <v>41</v>
      </c>
      <c r="D19" s="6"/>
      <c r="E19" s="6" t="s">
        <v>41</v>
      </c>
      <c r="F19" s="6"/>
      <c r="G19" s="6" t="s">
        <v>41</v>
      </c>
      <c r="H19" s="6" t="s">
        <v>41</v>
      </c>
      <c r="I19" s="6" t="s">
        <v>41</v>
      </c>
      <c r="J19" s="7"/>
      <c r="K19" s="7" t="s">
        <v>102</v>
      </c>
      <c r="L19" s="7" t="s">
        <v>133</v>
      </c>
      <c r="M19" s="160" t="s">
        <v>134</v>
      </c>
      <c r="N19" s="120" t="s">
        <v>135</v>
      </c>
      <c r="O19" s="7">
        <v>4</v>
      </c>
      <c r="P19" s="7" t="s">
        <v>136</v>
      </c>
      <c r="Q19" s="7" t="s">
        <v>127</v>
      </c>
      <c r="R19" s="56"/>
      <c r="S19" s="175" t="str" cm="1">
        <f t="array" ref="S19">GetURL(Table234[[#This Row],[Link]])</f>
        <v>https://deloittedevelopment.udemy.com/labs/add-an-authentication-flow-and-route-protection-to-a-react-app/overview/</v>
      </c>
      <c r="W19" s="163" t="s">
        <v>0</v>
      </c>
      <c r="X19" s="163">
        <v>25</v>
      </c>
      <c r="Y19" s="66">
        <v>16</v>
      </c>
      <c r="Z19" s="66">
        <v>80</v>
      </c>
      <c r="AA19" s="66">
        <v>8</v>
      </c>
      <c r="AB19" s="66">
        <v>32</v>
      </c>
      <c r="AC19" s="66">
        <v>18</v>
      </c>
      <c r="AD19" s="66">
        <v>4</v>
      </c>
      <c r="AE19" s="66">
        <v>48</v>
      </c>
      <c r="AJ19" s="21" t="s">
        <v>96</v>
      </c>
      <c r="AK19" t="str">
        <f>_xlfn.CONCAT("MD ", AJ19)</f>
        <v>MD Patterns</v>
      </c>
    </row>
    <row r="20" spans="2:37" ht="68.25" hidden="1" customHeight="1">
      <c r="B20" s="6" t="s">
        <v>41</v>
      </c>
      <c r="C20" s="6" t="s">
        <v>41</v>
      </c>
      <c r="D20" s="6"/>
      <c r="E20" s="6" t="s">
        <v>41</v>
      </c>
      <c r="F20" s="6"/>
      <c r="G20" s="6" t="s">
        <v>41</v>
      </c>
      <c r="H20" s="6" t="s">
        <v>41</v>
      </c>
      <c r="I20" s="6" t="s">
        <v>41</v>
      </c>
      <c r="J20" s="7"/>
      <c r="K20" s="7" t="s">
        <v>103</v>
      </c>
      <c r="L20" s="7" t="s">
        <v>137</v>
      </c>
      <c r="M20" s="160" t="s">
        <v>138</v>
      </c>
      <c r="N20" s="120" t="s">
        <v>135</v>
      </c>
      <c r="O20" s="7">
        <v>3</v>
      </c>
      <c r="P20" s="7">
        <v>4</v>
      </c>
      <c r="Q20" s="7"/>
      <c r="R20" s="56"/>
      <c r="S20" s="175" t="str" cm="1">
        <f t="array" ref="S20">GetURL(Table234[[#This Row],[Link]])</f>
        <v>https://deloittedevelopment.udemy.com/labs/build-a-social-networking-page-with-react-and-redux/overview/</v>
      </c>
      <c r="W20" s="147" t="s">
        <v>28</v>
      </c>
      <c r="X20" s="147" t="s">
        <v>29</v>
      </c>
      <c r="Y20" s="73" t="s">
        <v>96</v>
      </c>
      <c r="Z20" s="66" t="s">
        <v>75</v>
      </c>
      <c r="AA20" s="66" t="s">
        <v>139</v>
      </c>
      <c r="AB20" s="66" t="s">
        <v>98</v>
      </c>
      <c r="AC20" s="66" t="s">
        <v>99</v>
      </c>
      <c r="AD20" s="66" t="s">
        <v>140</v>
      </c>
      <c r="AE20" s="66" t="s">
        <v>141</v>
      </c>
      <c r="AJ20" s="21" t="s">
        <v>30</v>
      </c>
      <c r="AK20" t="str">
        <f>_xlfn.CONCAT("MD ", AJ20)</f>
        <v>MD React</v>
      </c>
    </row>
    <row r="21" spans="2:37" ht="68.25" hidden="1" customHeight="1">
      <c r="B21" s="6"/>
      <c r="C21" s="6"/>
      <c r="D21" s="6"/>
      <c r="E21" s="6" t="s">
        <v>41</v>
      </c>
      <c r="F21" s="6"/>
      <c r="G21" s="6" t="s">
        <v>41</v>
      </c>
      <c r="H21" s="6" t="s">
        <v>41</v>
      </c>
      <c r="I21" s="6" t="s">
        <v>41</v>
      </c>
      <c r="J21" s="7"/>
      <c r="K21" s="7" t="s">
        <v>130</v>
      </c>
      <c r="L21" s="7" t="s">
        <v>142</v>
      </c>
      <c r="M21" s="128" t="s">
        <v>143</v>
      </c>
      <c r="N21" s="36"/>
      <c r="O21" s="7"/>
      <c r="P21" s="7"/>
      <c r="Q21" s="7"/>
      <c r="R21" s="56"/>
      <c r="S21" s="175" t="str" cm="1">
        <f t="array" ref="S21">GetURL(Table234[[#This Row],[Link]])</f>
        <v>https://www.interviewbit.com/react-interview-questions/</v>
      </c>
      <c r="W21" s="147"/>
      <c r="X21" s="147"/>
      <c r="Y21" s="73"/>
      <c r="Z21" s="66"/>
      <c r="AA21" s="66"/>
      <c r="AB21" s="66"/>
      <c r="AC21" s="66"/>
      <c r="AD21" s="66"/>
      <c r="AE21" s="66"/>
      <c r="AJ21" s="21"/>
    </row>
    <row r="22" spans="2:37" ht="50.25" hidden="1" customHeight="1">
      <c r="B22" s="6" t="s">
        <v>41</v>
      </c>
      <c r="C22" s="6" t="s">
        <v>41</v>
      </c>
      <c r="D22" s="6"/>
      <c r="E22" s="6" t="s">
        <v>41</v>
      </c>
      <c r="F22" s="6"/>
      <c r="G22" s="6"/>
      <c r="H22" s="6" t="s">
        <v>41</v>
      </c>
      <c r="I22" s="6" t="s">
        <v>41</v>
      </c>
      <c r="J22" s="7"/>
      <c r="K22" s="7" t="s">
        <v>104</v>
      </c>
      <c r="L22" s="7" t="s">
        <v>144</v>
      </c>
      <c r="M22" s="160" t="s">
        <v>145</v>
      </c>
      <c r="N22" s="120" t="s">
        <v>146</v>
      </c>
      <c r="O22" s="7">
        <v>4</v>
      </c>
      <c r="P22" s="7">
        <v>4</v>
      </c>
      <c r="Q22" s="7"/>
      <c r="R22" s="56"/>
      <c r="S22" s="175" t="str" cm="1">
        <f t="array" ref="S22">GetURL(Table234[[#This Row],[Link]])</f>
        <v>https://deloittedevelopment.udemy.com/labs/build-a-complex-application-form-with-react-hooks-and-an-api/overview/</v>
      </c>
      <c r="V22" t="s">
        <v>40</v>
      </c>
      <c r="W22" s="147" t="s">
        <v>0</v>
      </c>
      <c r="X22" s="147" t="s">
        <v>0</v>
      </c>
      <c r="Y22" s="64" t="s">
        <v>41</v>
      </c>
      <c r="Z22" s="65" t="s">
        <v>41</v>
      </c>
      <c r="AA22" s="65" t="s">
        <v>41</v>
      </c>
      <c r="AB22" s="65" t="s">
        <v>41</v>
      </c>
      <c r="AC22" s="65" t="s">
        <v>41</v>
      </c>
      <c r="AD22" s="65" t="s">
        <v>41</v>
      </c>
      <c r="AE22" s="65" t="s">
        <v>41</v>
      </c>
      <c r="AJ22" s="21" t="s">
        <v>97</v>
      </c>
      <c r="AK22" t="str">
        <f>_xlfn.CONCAT("MD ", AJ22)</f>
        <v>MD React / Testing / Jest</v>
      </c>
    </row>
    <row r="23" spans="2:37" ht="56.25" hidden="1" customHeight="1">
      <c r="B23" s="6" t="s">
        <v>41</v>
      </c>
      <c r="C23" s="6"/>
      <c r="D23" s="6"/>
      <c r="E23" s="6" t="s">
        <v>41</v>
      </c>
      <c r="F23" s="6"/>
      <c r="G23" s="6"/>
      <c r="H23" s="6" t="s">
        <v>41</v>
      </c>
      <c r="I23" s="6" t="s">
        <v>41</v>
      </c>
      <c r="J23" s="7"/>
      <c r="K23" s="7" t="s">
        <v>105</v>
      </c>
      <c r="L23" s="7" t="s">
        <v>147</v>
      </c>
      <c r="M23" s="160" t="s">
        <v>148</v>
      </c>
      <c r="N23" s="120" t="s">
        <v>146</v>
      </c>
      <c r="O23" s="7">
        <v>4</v>
      </c>
      <c r="P23" s="7"/>
      <c r="Q23" s="7"/>
      <c r="R23" s="56" t="s">
        <v>149</v>
      </c>
      <c r="S23" s="175" t="str" cm="1">
        <f t="array" ref="S23">GetURL(Table234[[#This Row],[Link]])</f>
        <v>https://deloittedevelopment.udemy.com/labs/create-a-cicd-pipeline-for-a-react-web-application-using-devsecops-practices/overview/</v>
      </c>
      <c r="V23" t="s">
        <v>85</v>
      </c>
      <c r="W23" s="147" t="s">
        <v>0</v>
      </c>
      <c r="X23" s="147" t="s">
        <v>0</v>
      </c>
      <c r="Y23" s="64" t="s">
        <v>41</v>
      </c>
      <c r="Z23" s="65" t="s">
        <v>41</v>
      </c>
      <c r="AA23" s="65" t="s">
        <v>41</v>
      </c>
      <c r="AB23" s="65" t="s">
        <v>41</v>
      </c>
      <c r="AC23" s="65" t="s">
        <v>41</v>
      </c>
      <c r="AD23" s="65" t="s">
        <v>41</v>
      </c>
      <c r="AE23" s="65" t="s">
        <v>41</v>
      </c>
      <c r="AJ23" s="159" t="s">
        <v>98</v>
      </c>
      <c r="AK23" t="str">
        <f>_xlfn.CONCAT("MD ", AJ23)</f>
        <v>MD Exercise 1</v>
      </c>
    </row>
    <row r="24" spans="2:37" ht="56.25" hidden="1" customHeight="1">
      <c r="B24" s="6"/>
      <c r="C24" s="6"/>
      <c r="D24" s="6"/>
      <c r="E24" s="6" t="s">
        <v>41</v>
      </c>
      <c r="F24" s="6"/>
      <c r="G24" s="6"/>
      <c r="H24" s="6" t="s">
        <v>41</v>
      </c>
      <c r="I24" s="6" t="s">
        <v>41</v>
      </c>
      <c r="J24" s="7"/>
      <c r="K24" s="7" t="s">
        <v>130</v>
      </c>
      <c r="L24" s="7" t="s">
        <v>150</v>
      </c>
      <c r="M24" s="128" t="s">
        <v>151</v>
      </c>
      <c r="N24" s="36"/>
      <c r="O24" s="7"/>
      <c r="P24" s="7"/>
      <c r="Q24" s="7"/>
      <c r="R24" s="56"/>
      <c r="S24" s="175" t="str" cm="1">
        <f t="array" ref="S24">GetURL(Table234[[#This Row],[Link]])</f>
        <v>https://www.devteam.space/hiring-interview-tips/reactjs-interview-questions-and-answers/</v>
      </c>
      <c r="W24" s="147"/>
      <c r="X24" s="147"/>
      <c r="Y24" s="64"/>
      <c r="Z24" s="65"/>
      <c r="AA24" s="65"/>
      <c r="AB24" s="65"/>
      <c r="AC24" s="65"/>
      <c r="AD24" s="65"/>
      <c r="AE24" s="65"/>
      <c r="AJ24" s="159"/>
    </row>
    <row r="25" spans="2:37" ht="116">
      <c r="B25" s="6" t="s">
        <v>41</v>
      </c>
      <c r="C25" s="6" t="s">
        <v>41</v>
      </c>
      <c r="D25" s="6"/>
      <c r="E25" s="6" t="s">
        <v>41</v>
      </c>
      <c r="F25" s="6" t="s">
        <v>41</v>
      </c>
      <c r="G25" s="6" t="s">
        <v>41</v>
      </c>
      <c r="H25" s="6" t="s">
        <v>41</v>
      </c>
      <c r="I25" s="6" t="s">
        <v>41</v>
      </c>
      <c r="J25" s="7"/>
      <c r="K25" s="7" t="s">
        <v>152</v>
      </c>
      <c r="L25" s="146" t="s">
        <v>153</v>
      </c>
      <c r="M25" s="160" t="s">
        <v>154</v>
      </c>
      <c r="N25" s="119" t="s">
        <v>121</v>
      </c>
      <c r="O25" s="7">
        <v>60</v>
      </c>
      <c r="P25" s="7"/>
      <c r="Q25" s="7"/>
      <c r="R25" s="56"/>
      <c r="S25" s="175" t="str" cm="1">
        <f t="array" ref="S25">GetURL(Table234[[#This Row],[Link]])</f>
        <v>../../../../:w:/r/sites/Java312-FullStack/Shared Documents/Full Stack/Final project/Final-Project-React.docx?d=w60470901429b4736b9622ed655f91c32&amp;csf=1&amp;web=1&amp;e=kQ35ve</v>
      </c>
      <c r="V25" t="s">
        <v>43</v>
      </c>
      <c r="W25" s="147" t="s">
        <v>0</v>
      </c>
      <c r="X25" s="147" t="s">
        <v>0</v>
      </c>
      <c r="Y25" s="64" t="s">
        <v>41</v>
      </c>
      <c r="Z25" s="65"/>
      <c r="AA25" s="65" t="s">
        <v>41</v>
      </c>
      <c r="AB25" s="65" t="s">
        <v>41</v>
      </c>
      <c r="AC25" s="65" t="s">
        <v>41</v>
      </c>
      <c r="AD25" s="65" t="s">
        <v>41</v>
      </c>
      <c r="AE25" s="65" t="s">
        <v>41</v>
      </c>
      <c r="AJ25" s="159" t="s">
        <v>99</v>
      </c>
      <c r="AK25" t="str">
        <f>_xlfn.CONCAT("MD ", AJ25)</f>
        <v>MD Exercise 2</v>
      </c>
    </row>
    <row r="26" spans="2:37" ht="14.5" hidden="1">
      <c r="B26" s="6"/>
      <c r="C26" s="6"/>
      <c r="D26" s="6"/>
      <c r="E26" s="6"/>
      <c r="F26" s="6"/>
      <c r="G26" s="6"/>
      <c r="H26" s="6"/>
      <c r="I26" s="6"/>
      <c r="J26" s="7"/>
      <c r="K26" s="7"/>
      <c r="L26" s="7"/>
      <c r="M26" s="160"/>
      <c r="N26" s="120"/>
      <c r="O26" s="7"/>
      <c r="P26" s="7"/>
      <c r="Q26" s="7"/>
      <c r="R26" s="56"/>
      <c r="S26" s="175" t="str" cm="1">
        <f t="array" ref="S26">GetURL(Table234[[#This Row],[Link]])</f>
        <v/>
      </c>
      <c r="V26" t="s">
        <v>44</v>
      </c>
      <c r="W26" s="147" t="s">
        <v>0</v>
      </c>
      <c r="X26" s="147" t="s">
        <v>0</v>
      </c>
      <c r="Y26" s="64" t="s">
        <v>41</v>
      </c>
      <c r="Z26" s="65"/>
      <c r="AA26" s="65" t="s">
        <v>41</v>
      </c>
      <c r="AB26" s="65" t="s">
        <v>41</v>
      </c>
      <c r="AC26" s="65" t="s">
        <v>41</v>
      </c>
      <c r="AD26" s="65" t="s">
        <v>41</v>
      </c>
      <c r="AE26" s="65" t="s">
        <v>41</v>
      </c>
      <c r="AJ26" s="21" t="s">
        <v>100</v>
      </c>
      <c r="AK26" t="str">
        <f>_xlfn.CONCAT("MD ", AJ26)</f>
        <v>MD React Labs 1</v>
      </c>
    </row>
    <row r="27" spans="2:37" ht="14.5" hidden="1">
      <c r="B27" s="6"/>
      <c r="C27" s="6"/>
      <c r="D27" s="6"/>
      <c r="E27" s="6"/>
      <c r="F27" s="6"/>
      <c r="G27" s="6"/>
      <c r="H27" s="6"/>
      <c r="I27" s="6"/>
      <c r="J27" s="7"/>
      <c r="K27" s="7"/>
      <c r="L27" s="7"/>
      <c r="M27" s="160"/>
      <c r="N27" s="121"/>
      <c r="O27" s="7"/>
      <c r="P27" s="7"/>
      <c r="Q27" s="7"/>
      <c r="R27" s="56"/>
      <c r="S27" s="175" t="str" cm="1">
        <f t="array" ref="S27">GetURL(Table234[[#This Row],[Link]])</f>
        <v/>
      </c>
      <c r="AJ27" s="21" t="s">
        <v>102</v>
      </c>
      <c r="AK27" t="str">
        <f>_xlfn.CONCAT("MD ", AJ27)</f>
        <v>MD React Labs 3</v>
      </c>
    </row>
    <row r="28" spans="2:37" ht="14.5" hidden="1">
      <c r="B28" s="6"/>
      <c r="C28" s="6"/>
      <c r="D28" s="6"/>
      <c r="E28" s="6"/>
      <c r="F28" s="6"/>
      <c r="G28" s="6"/>
      <c r="H28" s="6"/>
      <c r="I28" s="6"/>
      <c r="J28" s="7"/>
      <c r="K28" s="7"/>
      <c r="L28" s="7"/>
      <c r="M28" s="160"/>
      <c r="N28" s="119"/>
      <c r="O28" s="7"/>
      <c r="P28" s="7"/>
      <c r="Q28" s="7"/>
      <c r="R28" s="56"/>
      <c r="S28" s="175" t="str" cm="1">
        <f t="array" ref="S28">GetURL(Table234[[#This Row],[Link]])</f>
        <v/>
      </c>
      <c r="W28" s="147"/>
      <c r="AJ28" s="21"/>
    </row>
    <row r="29" spans="2:37" ht="14.5" hidden="1">
      <c r="B29" s="6"/>
      <c r="C29" s="6"/>
      <c r="D29" s="6"/>
      <c r="E29" s="6"/>
      <c r="F29" s="6"/>
      <c r="G29" s="6"/>
      <c r="H29" s="6"/>
      <c r="I29" s="6"/>
      <c r="J29" s="7"/>
      <c r="K29" s="7"/>
      <c r="L29" s="7"/>
      <c r="M29" s="160"/>
      <c r="N29" s="119"/>
      <c r="O29" s="7"/>
      <c r="P29" s="7"/>
      <c r="Q29" s="7"/>
      <c r="R29" s="56"/>
      <c r="S29" s="175" t="str" cm="1">
        <f t="array" ref="S29">GetURL(Table234[[#This Row],[Link]])</f>
        <v/>
      </c>
      <c r="W29" s="147"/>
      <c r="AJ29" s="21"/>
    </row>
    <row r="30" spans="2:37" ht="14.5" hidden="1">
      <c r="B30" s="6"/>
      <c r="C30" s="6"/>
      <c r="D30" s="6"/>
      <c r="E30" s="6"/>
      <c r="F30" s="6"/>
      <c r="G30" s="6"/>
      <c r="H30" s="6"/>
      <c r="I30" s="6"/>
      <c r="J30" s="7"/>
      <c r="K30" s="7"/>
      <c r="L30" s="7"/>
      <c r="M30" s="162"/>
      <c r="N30" s="119"/>
      <c r="O30" s="7"/>
      <c r="P30" s="7"/>
      <c r="Q30" s="7"/>
      <c r="R30" s="56"/>
      <c r="S30" s="175" t="str" cm="1">
        <f t="array" ref="S30">GetURL(Table234[[#This Row],[Link]])</f>
        <v/>
      </c>
      <c r="W30" s="73"/>
      <c r="AJ30" s="21"/>
    </row>
    <row r="31" spans="2:37" ht="14.5" hidden="1">
      <c r="B31" s="6"/>
      <c r="C31" s="6"/>
      <c r="D31" s="6"/>
      <c r="E31" s="6"/>
      <c r="F31" s="6"/>
      <c r="G31" s="6"/>
      <c r="H31" s="6"/>
      <c r="I31" s="6"/>
      <c r="J31" s="7"/>
      <c r="K31" s="7"/>
      <c r="L31" s="149"/>
      <c r="M31" s="160"/>
      <c r="N31" s="119"/>
      <c r="O31" s="7"/>
      <c r="P31" s="7"/>
      <c r="Q31" s="7"/>
      <c r="R31" s="56"/>
      <c r="S31" s="175" t="str" cm="1">
        <f t="array" ref="S31">GetURL(Table234[[#This Row],[Link]])</f>
        <v/>
      </c>
      <c r="W31" s="66"/>
      <c r="AJ31" s="21"/>
    </row>
    <row r="32" spans="2:37" ht="52.5" hidden="1" customHeight="1">
      <c r="B32" s="6"/>
      <c r="C32" s="6"/>
      <c r="D32" s="6"/>
      <c r="E32" s="6"/>
      <c r="F32" s="6"/>
      <c r="G32" s="6"/>
      <c r="H32" s="6"/>
      <c r="I32" s="6"/>
      <c r="J32" s="7"/>
      <c r="K32" s="7"/>
      <c r="L32" s="7"/>
      <c r="M32" s="160"/>
      <c r="N32" s="120"/>
      <c r="O32" s="7"/>
      <c r="P32" s="7"/>
      <c r="Q32" s="7"/>
      <c r="R32" s="56"/>
      <c r="S32" s="175" t="str" cm="1">
        <f t="array" ref="S32">GetURL(Table234[[#This Row],[Link]])</f>
        <v/>
      </c>
      <c r="W32" s="66"/>
    </row>
    <row r="33" spans="2:23" ht="14.5" hidden="1">
      <c r="B33" s="6"/>
      <c r="C33" s="6"/>
      <c r="D33" s="6"/>
      <c r="E33" s="6"/>
      <c r="F33" s="6"/>
      <c r="G33" s="6"/>
      <c r="H33" s="6"/>
      <c r="I33" s="6"/>
      <c r="J33" s="7"/>
      <c r="K33" s="7"/>
      <c r="L33" s="146"/>
      <c r="M33" s="160"/>
      <c r="N33" s="119"/>
      <c r="O33" s="7"/>
      <c r="P33" s="7"/>
      <c r="Q33" s="7"/>
      <c r="R33" s="56"/>
      <c r="S33" s="177" t="str" cm="1">
        <f t="array" ref="S33">GetURL(Table234[[#This Row],[Link]])</f>
        <v/>
      </c>
      <c r="W33" s="66"/>
    </row>
    <row r="34" spans="2:23" ht="14.5" hidden="1">
      <c r="B34" s="51"/>
      <c r="C34" s="51"/>
      <c r="D34" s="51"/>
      <c r="E34" s="51"/>
      <c r="F34" s="51"/>
      <c r="G34" s="51"/>
      <c r="H34" s="51"/>
      <c r="I34" s="51"/>
      <c r="J34" s="60"/>
      <c r="K34" s="60"/>
      <c r="L34" s="60"/>
      <c r="M34" s="166"/>
      <c r="N34" s="60"/>
      <c r="O34" s="60"/>
      <c r="P34" s="60"/>
      <c r="Q34" s="60"/>
      <c r="R34" s="62"/>
      <c r="S34" s="177" t="str" cm="1">
        <f t="array" ref="S34">GetURL(Table234[[#This Row],[Link]])</f>
        <v/>
      </c>
      <c r="W34" s="66"/>
    </row>
    <row r="35" spans="2:23" ht="14.5">
      <c r="B35" s="7"/>
      <c r="C35" s="7"/>
      <c r="D35" s="7"/>
      <c r="E35" s="7"/>
      <c r="F35" s="7"/>
      <c r="G35" s="7"/>
      <c r="H35" s="7"/>
      <c r="I35" s="7"/>
      <c r="J35" s="7"/>
      <c r="K35" s="7"/>
      <c r="L35" s="7"/>
      <c r="M35" s="7"/>
      <c r="N35" s="7"/>
      <c r="O35" s="7"/>
      <c r="P35" s="7"/>
      <c r="Q35" s="7"/>
      <c r="R35" s="7"/>
      <c r="S35" s="7"/>
      <c r="W35" s="66"/>
    </row>
    <row r="36" spans="2:23" ht="14.5">
      <c r="B36" s="7"/>
      <c r="C36" s="7"/>
      <c r="D36" s="7"/>
      <c r="E36" s="7"/>
      <c r="F36" s="7"/>
      <c r="G36" s="7"/>
      <c r="H36" s="7"/>
      <c r="I36" s="7"/>
      <c r="J36" s="7"/>
      <c r="K36" s="7"/>
      <c r="L36" s="60"/>
      <c r="M36" s="60"/>
      <c r="N36" s="60"/>
      <c r="O36" s="7"/>
      <c r="P36" s="7"/>
      <c r="Q36" s="7"/>
      <c r="R36" s="7"/>
      <c r="S36" s="7"/>
      <c r="W36" s="66"/>
    </row>
    <row r="37" spans="2:23" ht="14.5">
      <c r="B37" s="6"/>
      <c r="C37" s="6"/>
      <c r="D37" s="6"/>
      <c r="E37" s="6"/>
      <c r="F37" s="6"/>
      <c r="G37" s="6"/>
      <c r="H37" s="6"/>
      <c r="I37" s="6"/>
      <c r="J37" s="7"/>
      <c r="K37" s="56"/>
      <c r="L37" s="66"/>
      <c r="M37" s="66"/>
      <c r="N37" s="66"/>
      <c r="O37" s="31"/>
      <c r="P37" s="7"/>
      <c r="Q37" s="7"/>
      <c r="R37" s="56"/>
      <c r="S37" s="167"/>
    </row>
    <row r="38" spans="2:23" ht="14.5">
      <c r="B38" s="6"/>
      <c r="C38" s="6"/>
      <c r="D38" s="6"/>
      <c r="E38" s="6"/>
      <c r="F38" s="6"/>
      <c r="G38" s="6"/>
      <c r="H38" s="6"/>
      <c r="I38" s="6"/>
      <c r="J38" s="7"/>
      <c r="K38" s="56"/>
      <c r="L38" s="66"/>
      <c r="M38" s="66"/>
      <c r="N38" s="66"/>
      <c r="O38" s="31"/>
      <c r="P38" s="7"/>
      <c r="Q38" s="7"/>
      <c r="R38" s="56"/>
      <c r="S38" s="167"/>
    </row>
    <row r="39" spans="2:23" ht="14.5">
      <c r="B39" s="6"/>
      <c r="C39" s="6"/>
      <c r="D39" s="6"/>
      <c r="E39" s="6"/>
      <c r="F39" s="6"/>
      <c r="G39" s="6"/>
      <c r="H39" s="6"/>
      <c r="I39" s="6"/>
      <c r="J39" s="7"/>
      <c r="K39" s="56"/>
      <c r="L39" s="66"/>
      <c r="M39" s="168"/>
      <c r="N39" s="66"/>
      <c r="O39" s="31"/>
      <c r="P39" s="7"/>
      <c r="Q39" s="7"/>
      <c r="R39" s="56"/>
      <c r="S39" s="167"/>
    </row>
    <row r="40" spans="2:23" ht="14.5">
      <c r="B40" s="6"/>
      <c r="C40" s="6"/>
      <c r="D40" s="6"/>
      <c r="E40" s="6"/>
      <c r="F40" s="6"/>
      <c r="G40" s="6"/>
      <c r="H40" s="6"/>
      <c r="I40" s="6"/>
      <c r="J40" s="7"/>
      <c r="K40" s="56"/>
      <c r="L40" s="66"/>
      <c r="M40" s="168"/>
      <c r="N40" s="66"/>
      <c r="O40" s="31"/>
      <c r="P40" s="7"/>
      <c r="Q40" s="7"/>
      <c r="R40" s="56"/>
      <c r="S40" s="167"/>
    </row>
    <row r="41" spans="2:23" ht="14.5">
      <c r="B41" s="6"/>
      <c r="C41" s="6"/>
      <c r="D41" s="6"/>
      <c r="E41" s="6"/>
      <c r="F41" s="6"/>
      <c r="G41" s="6"/>
      <c r="H41" s="6"/>
      <c r="I41" s="6"/>
      <c r="J41" s="7"/>
      <c r="K41" s="56"/>
      <c r="L41" s="66"/>
      <c r="M41" s="66"/>
      <c r="N41" s="66"/>
      <c r="O41" s="31"/>
      <c r="P41" s="7"/>
      <c r="Q41" s="7"/>
      <c r="R41" s="56"/>
      <c r="S41" s="167"/>
    </row>
  </sheetData>
  <mergeCells count="1">
    <mergeCell ref="K5:L6"/>
  </mergeCells>
  <conditionalFormatting sqref="F8:J8">
    <cfRule type="expression" dxfId="90" priority="6">
      <formula>ROW()=CELL("Row")</formula>
    </cfRule>
  </conditionalFormatting>
  <conditionalFormatting sqref="P8">
    <cfRule type="expression" dxfId="89" priority="5">
      <formula>ROW()=CELL("Row")</formula>
    </cfRule>
  </conditionalFormatting>
  <conditionalFormatting sqref="Q8">
    <cfRule type="expression" dxfId="88" priority="4">
      <formula>ROW()=CELL("Row")</formula>
    </cfRule>
  </conditionalFormatting>
  <conditionalFormatting sqref="R8">
    <cfRule type="expression" dxfId="87" priority="3">
      <formula>ROW()=CELL("Row")</formula>
    </cfRule>
  </conditionalFormatting>
  <conditionalFormatting sqref="K8:O8">
    <cfRule type="expression" dxfId="86" priority="2">
      <formula>ROW()=CELL("Row")</formula>
    </cfRule>
  </conditionalFormatting>
  <conditionalFormatting sqref="B8:E8">
    <cfRule type="expression" dxfId="85" priority="1">
      <formula>ROW()=CELL("Row")</formula>
    </cfRule>
  </conditionalFormatting>
  <hyperlinks>
    <hyperlink ref="M20" r:id="rId1" xr:uid="{2C0F334E-78BE-4E9C-8726-969E902AF4D2}"/>
    <hyperlink ref="M23" r:id="rId2" xr:uid="{14F6B818-0197-4CE4-8C42-087348A30D0D}"/>
    <hyperlink ref="M17" r:id="rId3" xr:uid="{51D13D8C-A03C-4385-B023-3F123D97E698}"/>
    <hyperlink ref="M22" r:id="rId4" xr:uid="{B4CE8E99-0DCD-4B1E-BE51-7A8E8DF48633}"/>
    <hyperlink ref="M19" r:id="rId5" xr:uid="{129A40C7-A108-42F9-B600-5C93719CF514}"/>
    <hyperlink ref="M16" r:id="rId6" xr:uid="{FBC35023-2922-4CF2-A01F-849F2D03923B}"/>
    <hyperlink ref="M25" r:id="rId7" display="https://amedeloitte.sharepoint.com/:w:/r/sites/Java312-FullStack/Shared%20Documents/Full%20Stack/Final%20project/Final-Project-React.docx?d=w60470901429b4736b9622ed655f91c32&amp;csf=1&amp;web=1&amp;e=kQ35ve" xr:uid="{D6A2298E-4201-4C77-A1FD-4943B09B464D}"/>
    <hyperlink ref="M18" r:id="rId8" xr:uid="{E0AF4753-F0DE-4B1D-B492-5FA14D80C203}"/>
    <hyperlink ref="M21" r:id="rId9" xr:uid="{500720EA-E2EC-49F4-A60A-3176773718EF}"/>
    <hyperlink ref="M24" r:id="rId10" xr:uid="{D5F7B8E2-5384-458C-B96C-9D6055E4EAD9}"/>
    <hyperlink ref="M12" r:id="rId11" display="The Complete Guide to Advanced React Component Patterns (udemy.com)" xr:uid="{1F099B94-7C8A-45C5-AF92-4B1AF533A930}"/>
    <hyperlink ref="M13" r:id="rId12" xr:uid="{A5657A9E-D3E3-4F80-AB83-3A5C7A87A785}"/>
    <hyperlink ref="M11" r:id="rId13" location="overview" display="https://deloittedevelopment.udemy.com/course/react-the-complete-guide-incl-redux/learn/lecture/25595350#overview" xr:uid="{006254BB-8F03-44AF-9769-CB6428A6A1C3}"/>
    <hyperlink ref="M10" r:id="rId14" xr:uid="{912A461B-04BE-42E3-9ADD-00CC87D08313}"/>
  </hyperlinks>
  <pageMargins left="0.7" right="0.7" top="0.75" bottom="0.75" header="0.3" footer="0.3"/>
  <pageSetup orientation="portrait"/>
  <drawing r:id="rId15"/>
  <tableParts count="1">
    <tablePart r:id="rId1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2FD29-A09D-4F92-9B7B-F5D5C2C80C50}">
  <sheetPr codeName="Sheet7"/>
  <dimension ref="B1:AK24"/>
  <sheetViews>
    <sheetView showGridLines="0" workbookViewId="0">
      <selection activeCell="L21" sqref="L21"/>
    </sheetView>
  </sheetViews>
  <sheetFormatPr defaultRowHeight="15" customHeight="1"/>
  <cols>
    <col min="2" max="2" width="7.1796875" customWidth="1"/>
    <col min="3" max="3" width="13.81640625" customWidth="1"/>
    <col min="4" max="4" width="13.26953125" customWidth="1"/>
    <col min="5" max="5" width="7.54296875" customWidth="1"/>
    <col min="6" max="9" width="9.1796875" bestFit="1" customWidth="1"/>
    <col min="10" max="10" width="10.26953125" customWidth="1"/>
    <col min="11" max="11" width="22.453125" customWidth="1"/>
    <col min="12" max="12" width="44.453125" customWidth="1"/>
    <col min="13" max="13" width="41.1796875" customWidth="1"/>
    <col min="14" max="14" width="38.54296875" customWidth="1"/>
    <col min="15" max="17" width="10.453125" customWidth="1"/>
    <col min="18" max="18" width="11.453125" customWidth="1"/>
    <col min="19" max="19" width="17.1796875" style="148" customWidth="1"/>
    <col min="20" max="25" width="9.1796875" bestFit="1" customWidth="1"/>
    <col min="26" max="26" width="5.7265625" bestFit="1" customWidth="1"/>
    <col min="27" max="27" width="18.81640625" bestFit="1" customWidth="1"/>
    <col min="28" max="29" width="9.453125" bestFit="1" customWidth="1"/>
    <col min="30" max="30" width="11.26953125" bestFit="1" customWidth="1"/>
    <col min="31" max="31" width="27.7265625" bestFit="1" customWidth="1"/>
    <col min="32" max="33" width="9.81640625" bestFit="1" customWidth="1"/>
    <col min="34" max="35" width="11" bestFit="1" customWidth="1"/>
    <col min="36" max="36" width="28.26953125" bestFit="1" customWidth="1"/>
  </cols>
  <sheetData>
    <row r="1" spans="2:37" s="170" customFormat="1" ht="14.5"/>
    <row r="2" spans="2:37" s="170" customFormat="1" ht="14.5"/>
    <row r="3" spans="2:37" s="170" customFormat="1" ht="14.5"/>
    <row r="4" spans="2:37" ht="18.5">
      <c r="D4" s="171" t="s">
        <v>77</v>
      </c>
      <c r="E4" s="172">
        <f>E5*0.23</f>
        <v>0</v>
      </c>
      <c r="F4" s="172">
        <f t="shared" ref="F4:I4" si="0">F5*0.23</f>
        <v>1.1845000000000001</v>
      </c>
      <c r="G4" s="172">
        <f t="shared" si="0"/>
        <v>1.1845000000000001</v>
      </c>
      <c r="H4" s="172">
        <f t="shared" si="0"/>
        <v>0.72450000000000003</v>
      </c>
      <c r="I4" s="172">
        <f t="shared" si="0"/>
        <v>0.72450000000000003</v>
      </c>
      <c r="S4"/>
    </row>
    <row r="5" spans="2:37" ht="15" customHeight="1">
      <c r="D5" s="171" t="s">
        <v>78</v>
      </c>
      <c r="E5" s="172">
        <f>E6/5</f>
        <v>0</v>
      </c>
      <c r="F5" s="172">
        <f>F6/5</f>
        <v>5.15</v>
      </c>
      <c r="G5" s="172">
        <f>G6/5</f>
        <v>5.15</v>
      </c>
      <c r="H5" s="172">
        <f>H6/5</f>
        <v>3.15</v>
      </c>
      <c r="I5" s="172">
        <f>I6/5</f>
        <v>3.15</v>
      </c>
      <c r="L5" s="246" t="s">
        <v>75</v>
      </c>
      <c r="M5" s="246"/>
    </row>
    <row r="6" spans="2:37" ht="15" customHeight="1">
      <c r="D6" s="171" t="s">
        <v>80</v>
      </c>
      <c r="E6" s="172">
        <f>E7/8</f>
        <v>0</v>
      </c>
      <c r="F6" s="172">
        <f>F7/8</f>
        <v>25.75</v>
      </c>
      <c r="G6" s="172">
        <f>G7/8</f>
        <v>25.75</v>
      </c>
      <c r="H6" s="172">
        <f>H7/8</f>
        <v>15.75</v>
      </c>
      <c r="I6" s="172">
        <f>I7/8</f>
        <v>15.75</v>
      </c>
      <c r="L6" s="246"/>
      <c r="M6" s="246"/>
    </row>
    <row r="7" spans="2:37" ht="18.5">
      <c r="D7" s="171" t="s">
        <v>81</v>
      </c>
      <c r="E7" s="172" cm="1">
        <f t="array" ref="E7">SUM(IF(E9:E33="x",$O$9:$O$33,0))</f>
        <v>0</v>
      </c>
      <c r="F7" s="172" cm="1">
        <f t="array" ref="F7">SUM(IF(F9:F33="x",$O$9:$O$33,0))</f>
        <v>206</v>
      </c>
      <c r="G7" s="172" cm="1">
        <f t="array" ref="G7">SUM(IF(G9:G33="x",$O$9:$O$33,0))</f>
        <v>206</v>
      </c>
      <c r="H7" s="172" cm="1">
        <f t="array" ref="H7">SUM(IF(H9:H33="x",$O$9:$O$33,0))</f>
        <v>126</v>
      </c>
      <c r="I7" s="172" cm="1">
        <f t="array" ref="I7">SUM(IF(I9:I33="x",$O$9:$O$33,0))</f>
        <v>126</v>
      </c>
      <c r="V7" t="s">
        <v>82</v>
      </c>
      <c r="W7" s="149">
        <v>3</v>
      </c>
      <c r="X7" s="150">
        <v>2.5</v>
      </c>
      <c r="Y7">
        <f t="shared" ref="Y7:AJ7" si="1">Y8/8</f>
        <v>2</v>
      </c>
      <c r="Z7">
        <f t="shared" si="1"/>
        <v>11</v>
      </c>
      <c r="AA7">
        <f t="shared" si="1"/>
        <v>2</v>
      </c>
      <c r="AB7">
        <f t="shared" si="1"/>
        <v>4</v>
      </c>
      <c r="AC7">
        <f t="shared" si="1"/>
        <v>2.25</v>
      </c>
      <c r="AD7">
        <f t="shared" si="1"/>
        <v>0.5</v>
      </c>
      <c r="AE7">
        <f t="shared" si="1"/>
        <v>0.5</v>
      </c>
      <c r="AF7">
        <f t="shared" si="1"/>
        <v>0.5</v>
      </c>
      <c r="AG7">
        <f t="shared" si="1"/>
        <v>0.375</v>
      </c>
      <c r="AH7">
        <f t="shared" si="1"/>
        <v>0.5</v>
      </c>
      <c r="AI7">
        <f t="shared" si="1"/>
        <v>0.5</v>
      </c>
      <c r="AJ7">
        <f t="shared" si="1"/>
        <v>7.5</v>
      </c>
    </row>
    <row r="8" spans="2:37" ht="23.5">
      <c r="B8" s="151" t="s">
        <v>83</v>
      </c>
      <c r="C8" s="151" t="s">
        <v>30</v>
      </c>
      <c r="D8" s="151" t="s">
        <v>75</v>
      </c>
      <c r="E8" s="151" t="s">
        <v>84</v>
      </c>
      <c r="F8" s="151" t="s">
        <v>40</v>
      </c>
      <c r="G8" s="151" t="s">
        <v>85</v>
      </c>
      <c r="H8" s="151" t="s">
        <v>43</v>
      </c>
      <c r="I8" s="151" t="s">
        <v>44</v>
      </c>
      <c r="J8" s="151" t="s">
        <v>86</v>
      </c>
      <c r="K8" s="152" t="s">
        <v>87</v>
      </c>
      <c r="L8" s="152" t="s">
        <v>88</v>
      </c>
      <c r="M8" s="152" t="s">
        <v>89</v>
      </c>
      <c r="N8" s="152" t="s">
        <v>90</v>
      </c>
      <c r="O8" s="152" t="s">
        <v>25</v>
      </c>
      <c r="P8" s="153" t="s">
        <v>91</v>
      </c>
      <c r="Q8" s="153" t="s">
        <v>92</v>
      </c>
      <c r="R8" s="154" t="s">
        <v>93</v>
      </c>
      <c r="S8" s="155" t="s">
        <v>155</v>
      </c>
      <c r="T8" s="190" t="s">
        <v>156</v>
      </c>
      <c r="V8" t="s">
        <v>95</v>
      </c>
      <c r="W8" s="156" t="s">
        <v>0</v>
      </c>
      <c r="X8" s="157">
        <v>25</v>
      </c>
      <c r="Y8" s="7">
        <v>16</v>
      </c>
      <c r="Z8" s="7">
        <v>88</v>
      </c>
      <c r="AA8" s="7">
        <v>16</v>
      </c>
      <c r="AB8" s="7">
        <v>32</v>
      </c>
      <c r="AC8" s="7">
        <v>18</v>
      </c>
      <c r="AD8" s="7">
        <v>4</v>
      </c>
      <c r="AE8" s="7">
        <v>4</v>
      </c>
      <c r="AF8" s="7">
        <v>4</v>
      </c>
      <c r="AG8" s="7">
        <v>3</v>
      </c>
      <c r="AH8" s="7">
        <v>4</v>
      </c>
      <c r="AI8" s="7">
        <v>4</v>
      </c>
      <c r="AJ8" s="7">
        <v>60</v>
      </c>
    </row>
    <row r="9" spans="2:37" ht="14.5">
      <c r="B9" s="6"/>
      <c r="C9" s="6"/>
      <c r="D9" s="6"/>
      <c r="E9" s="6"/>
      <c r="F9" s="6"/>
      <c r="G9" s="6"/>
      <c r="H9" s="6"/>
      <c r="I9" s="6"/>
      <c r="J9" s="7"/>
      <c r="K9" s="7"/>
      <c r="L9" s="7"/>
      <c r="M9" s="7"/>
      <c r="N9" s="7"/>
      <c r="O9" s="7"/>
      <c r="P9" s="7"/>
      <c r="Q9" s="7"/>
      <c r="R9" s="7"/>
      <c r="S9" s="155"/>
      <c r="T9" s="190"/>
      <c r="W9" s="158" t="s">
        <v>28</v>
      </c>
      <c r="X9" s="158" t="s">
        <v>29</v>
      </c>
      <c r="Y9" s="21" t="s">
        <v>96</v>
      </c>
      <c r="Z9" s="21" t="s">
        <v>30</v>
      </c>
      <c r="AA9" s="21" t="s">
        <v>97</v>
      </c>
      <c r="AB9" s="159" t="s">
        <v>98</v>
      </c>
      <c r="AC9" s="159" t="s">
        <v>99</v>
      </c>
      <c r="AD9" s="21" t="s">
        <v>100</v>
      </c>
      <c r="AE9" s="21" t="s">
        <v>101</v>
      </c>
      <c r="AF9" s="21" t="s">
        <v>102</v>
      </c>
      <c r="AG9" s="21" t="s">
        <v>103</v>
      </c>
      <c r="AH9" s="21" t="s">
        <v>104</v>
      </c>
      <c r="AI9" s="21" t="s">
        <v>105</v>
      </c>
      <c r="AJ9" s="21" t="s">
        <v>106</v>
      </c>
    </row>
    <row r="10" spans="2:37" ht="13.5" customHeight="1">
      <c r="B10" s="6" t="s">
        <v>41</v>
      </c>
      <c r="C10" s="6" t="s">
        <v>41</v>
      </c>
      <c r="D10" s="6" t="s">
        <v>41</v>
      </c>
      <c r="E10" s="6"/>
      <c r="F10" s="6" t="s">
        <v>41</v>
      </c>
      <c r="G10" s="6" t="s">
        <v>41</v>
      </c>
      <c r="H10" s="6" t="s">
        <v>41</v>
      </c>
      <c r="I10" s="6" t="s">
        <v>41</v>
      </c>
      <c r="J10" s="7">
        <v>2</v>
      </c>
      <c r="K10" s="7" t="s">
        <v>96</v>
      </c>
      <c r="L10" s="7" t="s">
        <v>107</v>
      </c>
      <c r="M10" s="160" t="s">
        <v>108</v>
      </c>
      <c r="N10" s="118" t="s">
        <v>109</v>
      </c>
      <c r="O10" s="7">
        <v>16</v>
      </c>
      <c r="P10" s="7">
        <v>4.3</v>
      </c>
      <c r="Q10" s="7">
        <v>13120</v>
      </c>
      <c r="R10" s="56">
        <v>1315</v>
      </c>
      <c r="S10" s="161" t="str" cm="1">
        <f t="array" ref="S10">GetURL(Table23[[#This Row],[Link]])</f>
        <v>https://deloittedevelopment.udemy.com/course/design-patterns-javascript/?src=sac&amp;kw=javascript+patt</v>
      </c>
      <c r="T10" s="7"/>
      <c r="V10" t="s">
        <v>40</v>
      </c>
      <c r="W10" s="158" t="s">
        <v>0</v>
      </c>
      <c r="X10" s="158" t="s">
        <v>0</v>
      </c>
      <c r="Y10" s="53" t="s">
        <v>41</v>
      </c>
      <c r="Z10" s="53" t="s">
        <v>41</v>
      </c>
      <c r="AA10" s="53" t="s">
        <v>41</v>
      </c>
      <c r="AB10" s="53"/>
      <c r="AC10" s="53"/>
      <c r="AD10" s="53" t="s">
        <v>41</v>
      </c>
      <c r="AE10" s="53" t="s">
        <v>41</v>
      </c>
      <c r="AF10" s="53"/>
      <c r="AG10" s="53"/>
      <c r="AH10" s="53"/>
      <c r="AI10" s="53"/>
      <c r="AJ10" s="53"/>
    </row>
    <row r="11" spans="2:37" ht="43.5">
      <c r="B11" s="6" t="s">
        <v>41</v>
      </c>
      <c r="C11" s="6"/>
      <c r="D11" s="6" t="s">
        <v>41</v>
      </c>
      <c r="E11" s="6"/>
      <c r="F11" s="6" t="s">
        <v>41</v>
      </c>
      <c r="G11" s="6" t="s">
        <v>41</v>
      </c>
      <c r="H11" s="6"/>
      <c r="I11" s="6"/>
      <c r="J11" s="7">
        <v>5</v>
      </c>
      <c r="K11" s="7" t="s">
        <v>75</v>
      </c>
      <c r="L11" s="7" t="s">
        <v>157</v>
      </c>
      <c r="M11" s="160" t="s">
        <v>158</v>
      </c>
      <c r="N11" s="119" t="s">
        <v>109</v>
      </c>
      <c r="O11" s="7">
        <v>80</v>
      </c>
      <c r="P11" s="7">
        <v>4.7</v>
      </c>
      <c r="Q11" s="7">
        <v>183.143</v>
      </c>
      <c r="R11" s="56">
        <v>36957</v>
      </c>
      <c r="S11" s="161" t="str" cm="1">
        <f t="array" ref="S11">GetURL(Table23[[#This Row],[Link]])</f>
        <v>https://deloittedevelopment.udemy.com/course/nodejs-the-complete-guide/learn/lecture/12256808</v>
      </c>
      <c r="T11" s="58" t="s">
        <v>159</v>
      </c>
      <c r="W11" s="147" t="s">
        <v>28</v>
      </c>
      <c r="Y11" t="str">
        <f t="shared" ref="Y11:Y19" si="2">_xlfn.CONCAT("MD ", W11)</f>
        <v>MD Deloitte</v>
      </c>
      <c r="AJ11" s="21" t="s">
        <v>103</v>
      </c>
      <c r="AK11" t="str">
        <f>_xlfn.CONCAT("MD ", AJ11)</f>
        <v>MD React Labs 4</v>
      </c>
    </row>
    <row r="12" spans="2:37" ht="43.5">
      <c r="B12" s="6" t="s">
        <v>41</v>
      </c>
      <c r="C12" s="6"/>
      <c r="D12" s="6" t="s">
        <v>41</v>
      </c>
      <c r="E12" s="6"/>
      <c r="F12" s="6" t="s">
        <v>41</v>
      </c>
      <c r="G12" s="6" t="s">
        <v>41</v>
      </c>
      <c r="H12" s="6" t="s">
        <v>41</v>
      </c>
      <c r="I12" s="6" t="s">
        <v>41</v>
      </c>
      <c r="J12" s="7">
        <v>6</v>
      </c>
      <c r="K12" s="7" t="s">
        <v>160</v>
      </c>
      <c r="L12" s="7" t="s">
        <v>161</v>
      </c>
      <c r="M12" s="160" t="s">
        <v>162</v>
      </c>
      <c r="N12" s="119" t="s">
        <v>109</v>
      </c>
      <c r="O12" s="7">
        <v>8</v>
      </c>
      <c r="P12" s="7">
        <v>4.5</v>
      </c>
      <c r="Q12" s="7">
        <v>9758</v>
      </c>
      <c r="R12" s="56">
        <v>1186</v>
      </c>
      <c r="S12" s="161" t="str" cm="1">
        <f t="array" ref="S12">GetURL(Table23[[#This Row],[Link]])</f>
        <v>https://deloittedevelopment.udemy.com/course/nodejs-unit-testing-and-integration-testing-with-express-and-jest/</v>
      </c>
      <c r="T12" s="7"/>
      <c r="W12" s="147" t="s">
        <v>29</v>
      </c>
      <c r="Y12" t="str">
        <f t="shared" si="2"/>
        <v>MD Dextra Processes</v>
      </c>
      <c r="AJ12" s="21" t="s">
        <v>104</v>
      </c>
      <c r="AK12" t="str">
        <f>_xlfn.CONCAT("MD ", AJ12)</f>
        <v>MD React Labs 5</v>
      </c>
    </row>
    <row r="13" spans="2:37" ht="48" customHeight="1">
      <c r="B13" s="6" t="s">
        <v>41</v>
      </c>
      <c r="C13" s="6"/>
      <c r="D13" s="6" t="s">
        <v>41</v>
      </c>
      <c r="E13" s="6"/>
      <c r="F13" s="6" t="s">
        <v>41</v>
      </c>
      <c r="G13" s="6" t="s">
        <v>41</v>
      </c>
      <c r="H13" s="6" t="s">
        <v>41</v>
      </c>
      <c r="I13" s="6" t="s">
        <v>41</v>
      </c>
      <c r="J13" s="7"/>
      <c r="K13" s="7" t="s">
        <v>98</v>
      </c>
      <c r="L13" s="7" t="s">
        <v>119</v>
      </c>
      <c r="M13" s="173" t="s">
        <v>163</v>
      </c>
      <c r="N13" s="119" t="s">
        <v>121</v>
      </c>
      <c r="O13" s="7">
        <v>32</v>
      </c>
      <c r="P13" s="7"/>
      <c r="Q13" s="7"/>
      <c r="R13" s="56"/>
      <c r="S13" s="161" t="str" cm="1">
        <f t="array" ref="S13">GetURL(Table23[[#This Row],[Link]])</f>
        <v/>
      </c>
      <c r="T13" s="7"/>
      <c r="W13" s="73" t="s">
        <v>96</v>
      </c>
      <c r="Y13" t="str">
        <f t="shared" si="2"/>
        <v>MD Patterns</v>
      </c>
      <c r="AJ13" s="21" t="s">
        <v>105</v>
      </c>
      <c r="AK13" t="str">
        <f>_xlfn.CONCAT("MD ", AJ13)</f>
        <v>MD React Labs 6</v>
      </c>
    </row>
    <row r="14" spans="2:37" ht="14.5">
      <c r="B14" s="6" t="s">
        <v>41</v>
      </c>
      <c r="C14" s="6"/>
      <c r="D14" s="6" t="s">
        <v>41</v>
      </c>
      <c r="E14" s="6"/>
      <c r="F14" s="6" t="s">
        <v>41</v>
      </c>
      <c r="G14" s="6" t="s">
        <v>41</v>
      </c>
      <c r="H14" s="6" t="s">
        <v>41</v>
      </c>
      <c r="I14" s="6" t="s">
        <v>41</v>
      </c>
      <c r="J14" s="7"/>
      <c r="K14" s="7" t="s">
        <v>99</v>
      </c>
      <c r="L14" s="149" t="s">
        <v>122</v>
      </c>
      <c r="M14" s="160"/>
      <c r="N14" s="119" t="s">
        <v>121</v>
      </c>
      <c r="O14" s="7">
        <v>18</v>
      </c>
      <c r="P14" s="7"/>
      <c r="Q14" s="7"/>
      <c r="R14" s="56"/>
      <c r="S14" s="161" t="str" cm="1">
        <f t="array" ref="S14">GetURL(Table23[[#This Row],[Link]])</f>
        <v/>
      </c>
      <c r="T14" s="7"/>
      <c r="W14" s="66" t="s">
        <v>75</v>
      </c>
      <c r="Y14" t="str">
        <f t="shared" si="2"/>
        <v>MD Node</v>
      </c>
      <c r="AJ14" s="21" t="s">
        <v>106</v>
      </c>
      <c r="AK14" t="str">
        <f>_xlfn.CONCAT("MD ", AJ14)</f>
        <v>MD Projecto final (ejercicio React )</v>
      </c>
    </row>
    <row r="15" spans="2:37" ht="52.5" customHeight="1">
      <c r="B15" s="6" t="s">
        <v>41</v>
      </c>
      <c r="C15" s="6"/>
      <c r="D15" s="6" t="s">
        <v>41</v>
      </c>
      <c r="E15" s="6"/>
      <c r="F15" s="6" t="s">
        <v>41</v>
      </c>
      <c r="G15" s="6" t="s">
        <v>41</v>
      </c>
      <c r="H15" s="6" t="s">
        <v>41</v>
      </c>
      <c r="I15" s="6" t="s">
        <v>41</v>
      </c>
      <c r="J15" s="7"/>
      <c r="K15" s="7" t="s">
        <v>140</v>
      </c>
      <c r="L15" s="7" t="s">
        <v>164</v>
      </c>
      <c r="M15" s="160" t="s">
        <v>165</v>
      </c>
      <c r="N15" s="120" t="s">
        <v>166</v>
      </c>
      <c r="O15" s="7">
        <v>4</v>
      </c>
      <c r="P15" s="7"/>
      <c r="Q15" s="7"/>
      <c r="R15" s="56"/>
      <c r="S15" s="161" t="str" cm="1">
        <f t="array" ref="S15">GetURL(Table23[[#This Row],[Link]])</f>
        <v>https://deloittedevelopment.udemy.com/labs/create-a-waitlist-app-with-node-express-and-mongo/overview/</v>
      </c>
      <c r="T15" s="7"/>
      <c r="W15" s="66" t="s">
        <v>139</v>
      </c>
      <c r="Y15" t="str">
        <f t="shared" si="2"/>
        <v>MD Node / Testing</v>
      </c>
    </row>
    <row r="16" spans="2:37" ht="33.75" customHeight="1">
      <c r="B16" s="6" t="s">
        <v>41</v>
      </c>
      <c r="C16" s="6"/>
      <c r="D16" s="6" t="s">
        <v>41</v>
      </c>
      <c r="E16" s="6"/>
      <c r="F16" s="6" t="s">
        <v>41</v>
      </c>
      <c r="G16" s="6" t="s">
        <v>41</v>
      </c>
      <c r="H16" s="6" t="s">
        <v>41</v>
      </c>
      <c r="I16" s="6" t="s">
        <v>41</v>
      </c>
      <c r="J16" s="7"/>
      <c r="K16" s="7" t="s">
        <v>141</v>
      </c>
      <c r="L16" s="174" t="s">
        <v>167</v>
      </c>
      <c r="M16" s="160" t="s">
        <v>168</v>
      </c>
      <c r="N16" s="119" t="s">
        <v>121</v>
      </c>
      <c r="O16" s="7">
        <v>48</v>
      </c>
      <c r="P16" s="7"/>
      <c r="Q16" s="7"/>
      <c r="R16" s="56"/>
      <c r="S16" s="161" t="str" cm="1">
        <f t="array" ref="S16">GetURL(Table23[[#This Row],[Link]])</f>
        <v>../../../../:w:/r/sites/Java312-FullStack/Shared Documents/Full Stack/Final project/final-project-Node.docx?d=w8f8669c42bc54a8cab64fd1d5476d204&amp;csf=1&amp;web=1&amp;e=85UIQm</v>
      </c>
      <c r="T16" s="7"/>
      <c r="W16" s="66" t="s">
        <v>98</v>
      </c>
      <c r="Y16" t="str">
        <f t="shared" si="2"/>
        <v>MD Exercise 1</v>
      </c>
    </row>
    <row r="17" spans="2:25" ht="14.5">
      <c r="B17" s="51"/>
      <c r="C17" s="51"/>
      <c r="D17" s="51"/>
      <c r="E17" s="51"/>
      <c r="F17" s="51"/>
      <c r="G17" s="51"/>
      <c r="H17" s="51"/>
      <c r="I17" s="51"/>
      <c r="J17" s="60"/>
      <c r="K17" s="60"/>
      <c r="L17" s="60"/>
      <c r="M17" s="166"/>
      <c r="N17" s="60"/>
      <c r="O17" s="60"/>
      <c r="P17" s="60"/>
      <c r="Q17" s="60"/>
      <c r="R17" s="62"/>
      <c r="S17" s="165"/>
      <c r="T17" s="60"/>
      <c r="W17" s="66" t="s">
        <v>99</v>
      </c>
      <c r="Y17" t="str">
        <f t="shared" si="2"/>
        <v>MD Exercise 2</v>
      </c>
    </row>
    <row r="18" spans="2:25" ht="14.5">
      <c r="B18" s="7"/>
      <c r="C18" s="7"/>
      <c r="D18" s="7"/>
      <c r="E18" s="7"/>
      <c r="F18" s="7"/>
      <c r="G18" s="7"/>
      <c r="H18" s="7"/>
      <c r="I18" s="7"/>
      <c r="J18" s="7"/>
      <c r="K18" s="7"/>
      <c r="L18" s="7"/>
      <c r="M18" s="7"/>
      <c r="N18" s="7"/>
      <c r="O18" s="7"/>
      <c r="P18" s="7"/>
      <c r="Q18" s="7"/>
      <c r="R18" s="7"/>
      <c r="S18" s="7"/>
      <c r="W18" s="66" t="s">
        <v>140</v>
      </c>
      <c r="Y18" t="str">
        <f t="shared" si="2"/>
        <v>MD Node Labs</v>
      </c>
    </row>
    <row r="19" spans="2:25" ht="14.5">
      <c r="B19" s="7"/>
      <c r="C19" s="7"/>
      <c r="D19" s="7"/>
      <c r="E19" s="7"/>
      <c r="F19" s="7"/>
      <c r="G19" s="7"/>
      <c r="H19" s="7"/>
      <c r="I19" s="7"/>
      <c r="J19" s="7"/>
      <c r="K19" s="7"/>
      <c r="L19" s="60"/>
      <c r="M19" s="60"/>
      <c r="N19" s="60"/>
      <c r="O19" s="7"/>
      <c r="P19" s="7"/>
      <c r="Q19" s="7"/>
      <c r="R19" s="7"/>
      <c r="S19" s="7"/>
      <c r="W19" s="66" t="s">
        <v>141</v>
      </c>
      <c r="Y19" t="str">
        <f t="shared" si="2"/>
        <v>MD Projecto final (ejercicio Node )</v>
      </c>
    </row>
    <row r="20" spans="2:25" ht="14.5">
      <c r="B20" s="6"/>
      <c r="C20" s="6"/>
      <c r="D20" s="6"/>
      <c r="E20" s="6"/>
      <c r="F20" s="6"/>
      <c r="G20" s="6"/>
      <c r="H20" s="6"/>
      <c r="I20" s="6"/>
      <c r="J20" s="7"/>
      <c r="K20" s="56"/>
      <c r="L20" s="66"/>
      <c r="M20" s="66"/>
      <c r="N20" s="66"/>
      <c r="O20" s="31"/>
      <c r="P20" s="7"/>
      <c r="Q20" s="7"/>
      <c r="R20" s="56"/>
      <c r="S20" s="167"/>
    </row>
    <row r="21" spans="2:25" ht="14.5">
      <c r="B21" s="6"/>
      <c r="C21" s="6"/>
      <c r="D21" s="6"/>
      <c r="E21" s="6"/>
      <c r="F21" s="6"/>
      <c r="G21" s="6"/>
      <c r="H21" s="6"/>
      <c r="I21" s="6"/>
      <c r="J21" s="7"/>
      <c r="K21" s="56"/>
      <c r="L21" s="66"/>
      <c r="M21" s="66"/>
      <c r="N21" s="66"/>
      <c r="O21" s="31"/>
      <c r="P21" s="7"/>
      <c r="Q21" s="7"/>
      <c r="R21" s="56"/>
      <c r="S21" s="167"/>
    </row>
    <row r="22" spans="2:25" ht="14.5">
      <c r="B22" s="6"/>
      <c r="C22" s="6"/>
      <c r="D22" s="6"/>
      <c r="E22" s="6"/>
      <c r="F22" s="6"/>
      <c r="G22" s="6"/>
      <c r="H22" s="6"/>
      <c r="I22" s="6"/>
      <c r="J22" s="7"/>
      <c r="K22" s="56"/>
      <c r="L22" s="66"/>
      <c r="M22" s="168"/>
      <c r="N22" s="66"/>
      <c r="O22" s="31"/>
      <c r="P22" s="7"/>
      <c r="Q22" s="7"/>
      <c r="R22" s="56"/>
      <c r="S22" s="167"/>
    </row>
    <row r="23" spans="2:25" ht="14.5">
      <c r="B23" s="6"/>
      <c r="C23" s="6"/>
      <c r="D23" s="6"/>
      <c r="E23" s="6"/>
      <c r="F23" s="6"/>
      <c r="G23" s="6"/>
      <c r="H23" s="6"/>
      <c r="I23" s="6"/>
      <c r="J23" s="7"/>
      <c r="K23" s="56"/>
      <c r="L23" s="66"/>
      <c r="M23" s="168"/>
      <c r="N23" s="66"/>
      <c r="O23" s="31"/>
      <c r="P23" s="7"/>
      <c r="Q23" s="7"/>
      <c r="R23" s="56"/>
      <c r="S23" s="167"/>
    </row>
    <row r="24" spans="2:25" ht="14.5">
      <c r="B24" s="6"/>
      <c r="C24" s="6"/>
      <c r="D24" s="6"/>
      <c r="E24" s="6"/>
      <c r="F24" s="6"/>
      <c r="G24" s="6"/>
      <c r="H24" s="6"/>
      <c r="I24" s="6"/>
      <c r="J24" s="7"/>
      <c r="K24" s="56"/>
      <c r="L24" s="66"/>
      <c r="M24" s="66"/>
      <c r="N24" s="66"/>
      <c r="O24" s="31"/>
      <c r="P24" s="7"/>
      <c r="Q24" s="7"/>
      <c r="R24" s="56"/>
      <c r="S24" s="167"/>
    </row>
  </sheetData>
  <mergeCells count="1">
    <mergeCell ref="L5:M6"/>
  </mergeCells>
  <conditionalFormatting sqref="F8:J8">
    <cfRule type="expression" dxfId="61" priority="6">
      <formula>ROW()=CELL("Row")</formula>
    </cfRule>
  </conditionalFormatting>
  <conditionalFormatting sqref="P8">
    <cfRule type="expression" dxfId="60" priority="5">
      <formula>ROW()=CELL("Row")</formula>
    </cfRule>
  </conditionalFormatting>
  <conditionalFormatting sqref="Q8">
    <cfRule type="expression" dxfId="59" priority="4">
      <formula>ROW()=CELL("Row")</formula>
    </cfRule>
  </conditionalFormatting>
  <conditionalFormatting sqref="R8">
    <cfRule type="expression" dxfId="58" priority="3">
      <formula>ROW()=CELL("Row")</formula>
    </cfRule>
  </conditionalFormatting>
  <conditionalFormatting sqref="K8:O8">
    <cfRule type="expression" dxfId="57" priority="2">
      <formula>ROW()=CELL("Row")</formula>
    </cfRule>
  </conditionalFormatting>
  <conditionalFormatting sqref="B8:E8">
    <cfRule type="expression" dxfId="56" priority="1">
      <formula>ROW()=CELL("Row")</formula>
    </cfRule>
  </conditionalFormatting>
  <hyperlinks>
    <hyperlink ref="M10" r:id="rId1" xr:uid="{D74803FF-744B-4525-9B70-02601CE119CF}"/>
    <hyperlink ref="M16" r:id="rId2" xr:uid="{1DA123A4-A701-477B-A297-F9B3A57D6F31}"/>
    <hyperlink ref="M15" r:id="rId3" xr:uid="{B5E391B4-6724-4637-BFFF-67694460A85E}"/>
    <hyperlink ref="M12" r:id="rId4" xr:uid="{39065465-8E60-4F21-B076-184265AF26A3}"/>
    <hyperlink ref="M11" r:id="rId5" location="overview" display="https://deloittedevelopment.udemy.com/course/nodejs-the-complete-guide/learn/lecture/12256808 - overview" xr:uid="{C6E8C6B4-FB32-4905-BF12-470A5624DAA9}"/>
  </hyperlinks>
  <pageMargins left="0.7" right="0.7" top="0.75" bottom="0.75" header="0.3" footer="0.3"/>
  <pageSetup orientation="portrait"/>
  <drawing r:id="rId6"/>
  <tableParts count="1">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DQ39"/>
  <sheetViews>
    <sheetView showGridLines="0" workbookViewId="0">
      <selection activeCell="F8" sqref="F8"/>
    </sheetView>
  </sheetViews>
  <sheetFormatPr defaultRowHeight="15" customHeight="1"/>
  <cols>
    <col min="2" max="2" width="7.1796875" customWidth="1"/>
    <col min="3" max="3" width="13.81640625" customWidth="1"/>
    <col min="4" max="4" width="13.26953125" customWidth="1"/>
    <col min="5" max="5" width="7.54296875" customWidth="1"/>
    <col min="10" max="10" width="10.26953125" customWidth="1"/>
    <col min="11" max="11" width="22.453125" customWidth="1"/>
    <col min="12" max="12" width="44.453125" customWidth="1"/>
    <col min="13" max="13" width="41.1796875" customWidth="1"/>
    <col min="14" max="14" width="38.54296875" customWidth="1"/>
    <col min="15" max="17" width="10.453125" customWidth="1"/>
    <col min="18" max="18" width="11.453125" customWidth="1"/>
    <col min="19" max="19" width="17.1796875" style="1" customWidth="1"/>
    <col min="26" max="26" width="5.7265625" bestFit="1" customWidth="1"/>
    <col min="27" max="27" width="18.81640625" bestFit="1" customWidth="1"/>
    <col min="28" max="29" width="9.453125" bestFit="1" customWidth="1"/>
    <col min="30" max="30" width="11.26953125" bestFit="1" customWidth="1"/>
    <col min="31" max="31" width="27.7265625" bestFit="1" customWidth="1"/>
    <col min="32" max="33" width="9.81640625" bestFit="1" customWidth="1"/>
    <col min="34" max="35" width="11" bestFit="1" customWidth="1"/>
    <col min="36" max="36" width="28.26953125" bestFit="1" customWidth="1"/>
  </cols>
  <sheetData>
    <row r="1" spans="2:99" s="170" customFormat="1" ht="14.5"/>
    <row r="2" spans="2:99" s="170" customFormat="1" ht="14.5"/>
    <row r="3" spans="2:99" s="170" customFormat="1" ht="14.5"/>
    <row r="4" spans="2:99" ht="15" customHeight="1">
      <c r="D4" s="171" t="s">
        <v>77</v>
      </c>
      <c r="E4" s="172">
        <f>E5*0.23</f>
        <v>0</v>
      </c>
      <c r="F4" s="172">
        <f t="shared" ref="F4:I4" si="0">F5*0.23</f>
        <v>2.4667500000000002</v>
      </c>
      <c r="G4" s="172">
        <f t="shared" si="0"/>
        <v>2.5645000000000002</v>
      </c>
      <c r="H4" s="172">
        <f t="shared" si="0"/>
        <v>1.6214999999999999</v>
      </c>
      <c r="I4" s="172">
        <f t="shared" si="0"/>
        <v>1.5870000000000002</v>
      </c>
    </row>
    <row r="5" spans="2:99" ht="15" customHeight="1">
      <c r="D5" s="171" t="s">
        <v>78</v>
      </c>
      <c r="E5" s="172">
        <f>E6/5</f>
        <v>0</v>
      </c>
      <c r="F5" s="172">
        <f t="shared" ref="F5:I5" si="1">F6/5</f>
        <v>10.725</v>
      </c>
      <c r="G5" s="172">
        <f t="shared" si="1"/>
        <v>11.15</v>
      </c>
      <c r="H5" s="172">
        <f t="shared" si="1"/>
        <v>7.05</v>
      </c>
      <c r="I5" s="172">
        <f t="shared" si="1"/>
        <v>6.9</v>
      </c>
      <c r="K5" s="246" t="s">
        <v>79</v>
      </c>
      <c r="L5" s="246"/>
      <c r="N5" s="246" t="s">
        <v>169</v>
      </c>
      <c r="O5" s="246"/>
    </row>
    <row r="6" spans="2:99" ht="15" customHeight="1">
      <c r="D6" s="171" t="s">
        <v>80</v>
      </c>
      <c r="E6" s="172">
        <f>E7/8</f>
        <v>0</v>
      </c>
      <c r="F6" s="172">
        <f t="shared" ref="F6:I6" si="2">F7/8</f>
        <v>53.625</v>
      </c>
      <c r="G6" s="172">
        <f t="shared" si="2"/>
        <v>55.75</v>
      </c>
      <c r="H6" s="172">
        <f t="shared" si="2"/>
        <v>35.25</v>
      </c>
      <c r="I6" s="172">
        <f t="shared" si="2"/>
        <v>34.5</v>
      </c>
      <c r="K6" s="246"/>
      <c r="L6" s="246"/>
      <c r="N6" s="246"/>
      <c r="O6" s="246"/>
    </row>
    <row r="7" spans="2:99" ht="18.75" customHeight="1">
      <c r="D7" s="171" t="s">
        <v>81</v>
      </c>
      <c r="E7" s="172" cm="1">
        <f t="array" ref="E7">SUM(IF(E9:E48="x",$O$9:$O$48,0))</f>
        <v>0</v>
      </c>
      <c r="F7" s="172" cm="1">
        <f t="array" ref="F7">SUM(IF(F9:F48="x",$O$9:$O$48,0))</f>
        <v>429</v>
      </c>
      <c r="G7" s="172" cm="1">
        <f t="array" ref="G7">SUM(IF(G9:G48="x",$O$9:$O$48,0))</f>
        <v>446</v>
      </c>
      <c r="H7" s="172" cm="1">
        <f t="array" ref="H7">SUM(IF(H9:H48="x",$O$9:$O$48,0))</f>
        <v>282</v>
      </c>
      <c r="I7" s="172" cm="1">
        <f t="array" ref="I7">SUM(IF(I9:I48="x",$O$9:$O$48,0))</f>
        <v>276</v>
      </c>
      <c r="V7" t="s">
        <v>82</v>
      </c>
      <c r="W7" s="57">
        <v>3</v>
      </c>
      <c r="X7" s="67">
        <v>2.5</v>
      </c>
      <c r="Y7">
        <f t="shared" ref="Y7:AJ7" si="3">Y8/8</f>
        <v>2</v>
      </c>
      <c r="Z7">
        <f t="shared" si="3"/>
        <v>11</v>
      </c>
      <c r="AA7">
        <f t="shared" si="3"/>
        <v>2</v>
      </c>
      <c r="AB7">
        <f t="shared" si="3"/>
        <v>4</v>
      </c>
      <c r="AC7">
        <f t="shared" si="3"/>
        <v>2.25</v>
      </c>
      <c r="AD7">
        <f t="shared" si="3"/>
        <v>0.5</v>
      </c>
      <c r="AE7">
        <f t="shared" si="3"/>
        <v>0.5</v>
      </c>
      <c r="AF7">
        <f t="shared" si="3"/>
        <v>0.5</v>
      </c>
      <c r="AG7">
        <f t="shared" si="3"/>
        <v>0.375</v>
      </c>
      <c r="AH7">
        <f t="shared" si="3"/>
        <v>0.5</v>
      </c>
      <c r="AI7">
        <f t="shared" si="3"/>
        <v>0.5</v>
      </c>
      <c r="AJ7">
        <f t="shared" si="3"/>
        <v>7.5</v>
      </c>
    </row>
    <row r="8" spans="2:99" ht="23.5">
      <c r="B8" s="2" t="s">
        <v>83</v>
      </c>
      <c r="C8" s="2" t="s">
        <v>30</v>
      </c>
      <c r="D8" s="2" t="s">
        <v>75</v>
      </c>
      <c r="E8" s="2" t="s">
        <v>84</v>
      </c>
      <c r="F8" s="189" t="s">
        <v>40</v>
      </c>
      <c r="G8" s="189" t="s">
        <v>85</v>
      </c>
      <c r="H8" s="189" t="s">
        <v>43</v>
      </c>
      <c r="I8" s="189" t="s">
        <v>44</v>
      </c>
      <c r="J8" s="189" t="s">
        <v>86</v>
      </c>
      <c r="K8" s="3" t="s">
        <v>87</v>
      </c>
      <c r="L8" s="3" t="s">
        <v>88</v>
      </c>
      <c r="M8" s="3" t="s">
        <v>89</v>
      </c>
      <c r="N8" s="3" t="s">
        <v>90</v>
      </c>
      <c r="O8" s="3" t="s">
        <v>25</v>
      </c>
      <c r="P8" s="4" t="s">
        <v>91</v>
      </c>
      <c r="Q8" s="4" t="s">
        <v>92</v>
      </c>
      <c r="R8" s="5" t="s">
        <v>93</v>
      </c>
      <c r="S8" s="50" t="s">
        <v>155</v>
      </c>
      <c r="V8" t="s">
        <v>95</v>
      </c>
      <c r="W8" s="68" t="s">
        <v>0</v>
      </c>
      <c r="X8" s="69">
        <v>25</v>
      </c>
      <c r="Y8" s="7">
        <v>16</v>
      </c>
      <c r="Z8" s="7">
        <v>88</v>
      </c>
      <c r="AA8" s="7">
        <v>16</v>
      </c>
      <c r="AB8" s="7">
        <v>32</v>
      </c>
      <c r="AC8" s="7">
        <v>18</v>
      </c>
      <c r="AD8" s="7">
        <v>4</v>
      </c>
      <c r="AE8" s="7">
        <v>4</v>
      </c>
      <c r="AF8" s="7">
        <v>4</v>
      </c>
      <c r="AG8" s="7">
        <v>3</v>
      </c>
      <c r="AH8" s="7">
        <v>4</v>
      </c>
      <c r="AI8" s="7">
        <v>4</v>
      </c>
      <c r="AJ8" s="7">
        <v>60</v>
      </c>
    </row>
    <row r="9" spans="2:99" ht="14.5" hidden="1">
      <c r="B9" s="6"/>
      <c r="C9" s="6"/>
      <c r="D9" s="6"/>
      <c r="E9" s="186"/>
      <c r="F9" s="65"/>
      <c r="G9" s="65"/>
      <c r="H9" s="65"/>
      <c r="I9" s="65"/>
      <c r="J9" s="66"/>
      <c r="K9" s="31"/>
      <c r="L9" s="7"/>
      <c r="M9" s="7"/>
      <c r="N9" s="7"/>
      <c r="O9" s="7"/>
      <c r="P9" s="7"/>
      <c r="Q9" s="7"/>
      <c r="R9" s="7"/>
      <c r="S9" s="50"/>
      <c r="W9" s="70" t="s">
        <v>28</v>
      </c>
      <c r="X9" s="70" t="s">
        <v>29</v>
      </c>
      <c r="Y9" s="21" t="s">
        <v>96</v>
      </c>
      <c r="Z9" s="21" t="s">
        <v>30</v>
      </c>
      <c r="AA9" s="21" t="s">
        <v>97</v>
      </c>
      <c r="AB9" s="52" t="s">
        <v>98</v>
      </c>
      <c r="AC9" s="52" t="s">
        <v>99</v>
      </c>
      <c r="AD9" s="21" t="s">
        <v>100</v>
      </c>
      <c r="AE9" s="21" t="s">
        <v>101</v>
      </c>
      <c r="AF9" s="21" t="s">
        <v>102</v>
      </c>
      <c r="AG9" s="21" t="s">
        <v>103</v>
      </c>
      <c r="AH9" s="21" t="s">
        <v>104</v>
      </c>
      <c r="AI9" s="21" t="s">
        <v>105</v>
      </c>
      <c r="AJ9" s="21" t="s">
        <v>106</v>
      </c>
    </row>
    <row r="10" spans="2:99" ht="13.5" customHeight="1">
      <c r="B10" s="6" t="s">
        <v>41</v>
      </c>
      <c r="C10" s="6" t="s">
        <v>41</v>
      </c>
      <c r="D10" s="6" t="s">
        <v>41</v>
      </c>
      <c r="E10" s="186"/>
      <c r="F10" s="65" t="s">
        <v>41</v>
      </c>
      <c r="G10" s="65" t="s">
        <v>41</v>
      </c>
      <c r="H10" s="65" t="s">
        <v>41</v>
      </c>
      <c r="I10" s="65" t="s">
        <v>41</v>
      </c>
      <c r="J10" s="66">
        <v>2</v>
      </c>
      <c r="K10" s="31" t="s">
        <v>96</v>
      </c>
      <c r="L10" s="7" t="s">
        <v>107</v>
      </c>
      <c r="M10" s="55" t="s">
        <v>170</v>
      </c>
      <c r="N10" s="118" t="s">
        <v>109</v>
      </c>
      <c r="O10" s="7">
        <v>16</v>
      </c>
      <c r="P10" s="7">
        <v>4.3</v>
      </c>
      <c r="Q10" s="7">
        <v>13120</v>
      </c>
      <c r="R10" s="56">
        <v>1315</v>
      </c>
      <c r="S10" s="49"/>
      <c r="V10" t="s">
        <v>40</v>
      </c>
      <c r="W10" s="70" t="s">
        <v>0</v>
      </c>
      <c r="X10" s="70" t="s">
        <v>0</v>
      </c>
      <c r="Y10" s="53" t="s">
        <v>41</v>
      </c>
      <c r="Z10" s="53" t="s">
        <v>41</v>
      </c>
      <c r="AA10" s="53" t="s">
        <v>41</v>
      </c>
      <c r="AB10" s="53"/>
      <c r="AC10" s="53"/>
      <c r="AD10" s="53" t="s">
        <v>41</v>
      </c>
      <c r="AE10" s="53" t="s">
        <v>41</v>
      </c>
      <c r="AF10" s="53"/>
      <c r="AG10" s="53"/>
      <c r="AH10" s="53"/>
      <c r="AI10" s="53"/>
      <c r="AJ10" s="53"/>
      <c r="AP10" t="s">
        <v>171</v>
      </c>
      <c r="AQ10" t="s">
        <v>172</v>
      </c>
      <c r="AR10" t="s">
        <v>173</v>
      </c>
      <c r="AS10" t="s">
        <v>174</v>
      </c>
      <c r="AT10" t="s">
        <v>175</v>
      </c>
      <c r="AU10" t="s">
        <v>176</v>
      </c>
      <c r="AV10" t="s">
        <v>177</v>
      </c>
      <c r="AW10" t="s">
        <v>178</v>
      </c>
      <c r="AX10" t="s">
        <v>179</v>
      </c>
      <c r="AY10" t="s">
        <v>180</v>
      </c>
      <c r="AZ10" t="s">
        <v>181</v>
      </c>
      <c r="BA10" t="s">
        <v>182</v>
      </c>
      <c r="BB10" t="s">
        <v>183</v>
      </c>
      <c r="BC10" t="s">
        <v>184</v>
      </c>
      <c r="BD10" t="s">
        <v>185</v>
      </c>
      <c r="BE10" t="s">
        <v>186</v>
      </c>
      <c r="BF10" t="s">
        <v>187</v>
      </c>
      <c r="BG10" t="s">
        <v>188</v>
      </c>
      <c r="BH10" t="s">
        <v>189</v>
      </c>
      <c r="BI10" t="s">
        <v>190</v>
      </c>
      <c r="BJ10" t="s">
        <v>191</v>
      </c>
      <c r="BK10" t="s">
        <v>192</v>
      </c>
      <c r="BL10" t="s">
        <v>193</v>
      </c>
      <c r="BM10" t="s">
        <v>194</v>
      </c>
      <c r="BN10" t="s">
        <v>195</v>
      </c>
      <c r="BO10" t="s">
        <v>196</v>
      </c>
      <c r="BP10" t="s">
        <v>197</v>
      </c>
      <c r="BQ10" t="s">
        <v>198</v>
      </c>
      <c r="BR10" t="s">
        <v>199</v>
      </c>
      <c r="BS10" t="s">
        <v>200</v>
      </c>
      <c r="BT10" t="s">
        <v>201</v>
      </c>
      <c r="BU10" t="s">
        <v>202</v>
      </c>
      <c r="BV10" t="s">
        <v>203</v>
      </c>
      <c r="BW10" t="s">
        <v>204</v>
      </c>
      <c r="BX10" t="s">
        <v>205</v>
      </c>
      <c r="BY10" t="s">
        <v>206</v>
      </c>
      <c r="BZ10" t="s">
        <v>207</v>
      </c>
      <c r="CA10" t="s">
        <v>208</v>
      </c>
      <c r="CB10" t="s">
        <v>209</v>
      </c>
      <c r="CC10" t="s">
        <v>210</v>
      </c>
      <c r="CD10" t="s">
        <v>211</v>
      </c>
      <c r="CE10" t="s">
        <v>212</v>
      </c>
      <c r="CF10" t="s">
        <v>213</v>
      </c>
      <c r="CG10" t="s">
        <v>214</v>
      </c>
      <c r="CH10" t="s">
        <v>215</v>
      </c>
      <c r="CI10" t="s">
        <v>216</v>
      </c>
      <c r="CJ10" t="s">
        <v>217</v>
      </c>
      <c r="CK10" t="s">
        <v>218</v>
      </c>
      <c r="CL10" t="s">
        <v>219</v>
      </c>
      <c r="CM10" t="s">
        <v>220</v>
      </c>
      <c r="CN10" t="s">
        <v>221</v>
      </c>
      <c r="CO10" t="s">
        <v>222</v>
      </c>
      <c r="CP10" t="s">
        <v>223</v>
      </c>
      <c r="CQ10" t="s">
        <v>224</v>
      </c>
      <c r="CR10" t="s">
        <v>225</v>
      </c>
      <c r="CS10" t="s">
        <v>226</v>
      </c>
      <c r="CT10" t="s">
        <v>227</v>
      </c>
      <c r="CU10" t="s">
        <v>228</v>
      </c>
    </row>
    <row r="11" spans="2:99" ht="29.25" hidden="1" customHeight="1">
      <c r="B11" s="6" t="s">
        <v>41</v>
      </c>
      <c r="C11" s="6" t="s">
        <v>41</v>
      </c>
      <c r="D11" s="6"/>
      <c r="E11" s="186"/>
      <c r="F11" s="65" t="s">
        <v>41</v>
      </c>
      <c r="G11" s="65" t="s">
        <v>41</v>
      </c>
      <c r="H11" s="65"/>
      <c r="I11" s="65"/>
      <c r="J11" s="66">
        <v>3</v>
      </c>
      <c r="K11" s="31" t="s">
        <v>30</v>
      </c>
      <c r="L11" s="7" t="s">
        <v>110</v>
      </c>
      <c r="M11" s="55" t="s">
        <v>229</v>
      </c>
      <c r="N11" s="119" t="s">
        <v>109</v>
      </c>
      <c r="O11" s="7">
        <v>88</v>
      </c>
      <c r="P11" s="7">
        <v>4.5999999999999996</v>
      </c>
      <c r="Q11" s="7">
        <v>654827</v>
      </c>
      <c r="R11" s="56">
        <v>167239</v>
      </c>
      <c r="S11" s="49"/>
      <c r="V11" t="s">
        <v>85</v>
      </c>
      <c r="W11" s="70" t="s">
        <v>0</v>
      </c>
      <c r="X11" s="70" t="s">
        <v>0</v>
      </c>
      <c r="Y11" s="53" t="s">
        <v>41</v>
      </c>
      <c r="Z11" s="53" t="s">
        <v>41</v>
      </c>
      <c r="AA11" s="53" t="s">
        <v>41</v>
      </c>
      <c r="AB11" s="53"/>
      <c r="AC11" s="53"/>
      <c r="AD11" s="53" t="s">
        <v>41</v>
      </c>
      <c r="AE11" s="53" t="s">
        <v>41</v>
      </c>
      <c r="AF11" s="53" t="s">
        <v>41</v>
      </c>
      <c r="AG11" s="53" t="s">
        <v>41</v>
      </c>
      <c r="AH11" s="53"/>
      <c r="AI11" s="53"/>
      <c r="AJ11" s="53"/>
      <c r="AP11" t="s">
        <v>230</v>
      </c>
      <c r="AQ11" t="s">
        <v>231</v>
      </c>
      <c r="AR11" t="s">
        <v>232</v>
      </c>
      <c r="AS11" t="s">
        <v>233</v>
      </c>
      <c r="AT11" t="s">
        <v>234</v>
      </c>
      <c r="AU11" t="s">
        <v>235</v>
      </c>
      <c r="AV11" t="s">
        <v>236</v>
      </c>
      <c r="AW11" t="s">
        <v>237</v>
      </c>
      <c r="AX11" t="s">
        <v>238</v>
      </c>
      <c r="AY11" t="s">
        <v>239</v>
      </c>
      <c r="AZ11" t="s">
        <v>240</v>
      </c>
      <c r="BA11" t="s">
        <v>241</v>
      </c>
      <c r="BB11" t="s">
        <v>242</v>
      </c>
      <c r="BC11" t="s">
        <v>243</v>
      </c>
      <c r="BD11" t="s">
        <v>244</v>
      </c>
      <c r="BE11" t="s">
        <v>245</v>
      </c>
      <c r="BF11" t="s">
        <v>246</v>
      </c>
      <c r="BG11" t="s">
        <v>247</v>
      </c>
      <c r="BH11" t="s">
        <v>248</v>
      </c>
      <c r="BI11" t="s">
        <v>249</v>
      </c>
      <c r="BJ11" t="s">
        <v>250</v>
      </c>
      <c r="BK11" t="s">
        <v>251</v>
      </c>
      <c r="BL11" t="s">
        <v>252</v>
      </c>
      <c r="BM11" t="s">
        <v>253</v>
      </c>
      <c r="BN11" t="s">
        <v>254</v>
      </c>
      <c r="BO11" t="s">
        <v>255</v>
      </c>
      <c r="BP11" t="s">
        <v>256</v>
      </c>
      <c r="BQ11" t="s">
        <v>257</v>
      </c>
      <c r="BR11" t="s">
        <v>258</v>
      </c>
      <c r="BS11" t="s">
        <v>259</v>
      </c>
      <c r="BT11" t="s">
        <v>260</v>
      </c>
      <c r="BU11" t="s">
        <v>261</v>
      </c>
      <c r="BV11" t="s">
        <v>262</v>
      </c>
      <c r="BW11" t="s">
        <v>263</v>
      </c>
      <c r="BX11" t="s">
        <v>264</v>
      </c>
      <c r="BY11" t="s">
        <v>265</v>
      </c>
      <c r="BZ11" t="s">
        <v>266</v>
      </c>
      <c r="CA11" t="s">
        <v>267</v>
      </c>
      <c r="CB11" t="s">
        <v>268</v>
      </c>
      <c r="CC11" t="s">
        <v>269</v>
      </c>
      <c r="CD11" t="s">
        <v>270</v>
      </c>
      <c r="CE11" t="s">
        <v>271</v>
      </c>
      <c r="CF11" t="s">
        <v>272</v>
      </c>
      <c r="CG11" t="s">
        <v>273</v>
      </c>
      <c r="CH11" t="s">
        <v>274</v>
      </c>
      <c r="CI11" t="s">
        <v>275</v>
      </c>
      <c r="CJ11" t="s">
        <v>276</v>
      </c>
      <c r="CK11" t="s">
        <v>277</v>
      </c>
      <c r="CL11" t="s">
        <v>278</v>
      </c>
      <c r="CM11" t="s">
        <v>279</v>
      </c>
      <c r="CN11" t="s">
        <v>280</v>
      </c>
      <c r="CO11" t="s">
        <v>281</v>
      </c>
      <c r="CP11" t="s">
        <v>282</v>
      </c>
      <c r="CQ11" t="s">
        <v>283</v>
      </c>
      <c r="CR11" t="s">
        <v>284</v>
      </c>
      <c r="CS11" t="s">
        <v>285</v>
      </c>
      <c r="CT11" t="s">
        <v>286</v>
      </c>
      <c r="CU11" t="s">
        <v>287</v>
      </c>
    </row>
    <row r="12" spans="2:99" ht="29" hidden="1">
      <c r="B12" s="6"/>
      <c r="C12" s="6"/>
      <c r="D12" s="6"/>
      <c r="E12" s="186"/>
      <c r="F12" s="65"/>
      <c r="G12" s="65" t="s">
        <v>41</v>
      </c>
      <c r="H12" s="65" t="s">
        <v>41</v>
      </c>
      <c r="I12" s="65"/>
      <c r="J12" s="66"/>
      <c r="K12" s="141" t="s">
        <v>112</v>
      </c>
      <c r="L12" s="127" t="s">
        <v>113</v>
      </c>
      <c r="M12" s="128" t="s">
        <v>288</v>
      </c>
      <c r="N12" t="s">
        <v>115</v>
      </c>
      <c r="O12">
        <v>6</v>
      </c>
      <c r="P12">
        <v>4.3</v>
      </c>
      <c r="Q12" s="142">
        <v>1589</v>
      </c>
      <c r="R12" s="143">
        <v>44013</v>
      </c>
      <c r="S12" s="49"/>
      <c r="W12" s="70"/>
      <c r="X12" s="70"/>
      <c r="Y12" s="53"/>
      <c r="Z12" s="53"/>
      <c r="AA12" s="53"/>
      <c r="AB12" s="53"/>
      <c r="AC12" s="53"/>
      <c r="AD12" s="53"/>
      <c r="AE12" s="53"/>
      <c r="AF12" s="53"/>
      <c r="AG12" s="53"/>
      <c r="AH12" s="53"/>
      <c r="AI12" s="53"/>
      <c r="AJ12" s="53"/>
      <c r="AP12" t="s">
        <v>289</v>
      </c>
      <c r="AQ12" t="s">
        <v>290</v>
      </c>
      <c r="AR12" t="s">
        <v>291</v>
      </c>
      <c r="AS12" t="s">
        <v>292</v>
      </c>
      <c r="AT12" t="s">
        <v>293</v>
      </c>
      <c r="AU12" t="s">
        <v>294</v>
      </c>
      <c r="AV12" t="s">
        <v>295</v>
      </c>
      <c r="AW12" t="s">
        <v>296</v>
      </c>
      <c r="AX12" t="s">
        <v>297</v>
      </c>
      <c r="AY12" t="s">
        <v>298</v>
      </c>
      <c r="AZ12" t="s">
        <v>299</v>
      </c>
      <c r="BA12" t="s">
        <v>300</v>
      </c>
      <c r="BB12" t="s">
        <v>301</v>
      </c>
      <c r="BC12" t="s">
        <v>302</v>
      </c>
      <c r="BD12" t="s">
        <v>303</v>
      </c>
      <c r="BE12" t="s">
        <v>304</v>
      </c>
      <c r="BF12" t="s">
        <v>305</v>
      </c>
      <c r="BG12" t="s">
        <v>306</v>
      </c>
      <c r="BH12" t="s">
        <v>307</v>
      </c>
      <c r="BI12" t="s">
        <v>308</v>
      </c>
      <c r="BJ12" t="s">
        <v>309</v>
      </c>
      <c r="BK12" t="s">
        <v>310</v>
      </c>
      <c r="BL12" t="s">
        <v>311</v>
      </c>
      <c r="BM12" t="s">
        <v>312</v>
      </c>
      <c r="BN12" t="s">
        <v>313</v>
      </c>
      <c r="BO12" t="s">
        <v>314</v>
      </c>
      <c r="BP12" t="s">
        <v>315</v>
      </c>
      <c r="BQ12" t="s">
        <v>316</v>
      </c>
      <c r="BR12" t="s">
        <v>317</v>
      </c>
      <c r="BS12" t="s">
        <v>318</v>
      </c>
      <c r="BT12" t="s">
        <v>319</v>
      </c>
      <c r="BU12" t="s">
        <v>320</v>
      </c>
      <c r="BV12" t="s">
        <v>321</v>
      </c>
      <c r="BW12" t="s">
        <v>322</v>
      </c>
    </row>
    <row r="13" spans="2:99" ht="35.25" hidden="1" customHeight="1">
      <c r="B13" s="6" t="s">
        <v>41</v>
      </c>
      <c r="C13" s="6" t="s">
        <v>41</v>
      </c>
      <c r="D13" s="6"/>
      <c r="E13" s="186"/>
      <c r="F13" s="65" t="s">
        <v>41</v>
      </c>
      <c r="G13" s="65" t="s">
        <v>41</v>
      </c>
      <c r="H13" s="65" t="s">
        <v>41</v>
      </c>
      <c r="I13" s="65" t="s">
        <v>41</v>
      </c>
      <c r="J13" s="66">
        <v>4</v>
      </c>
      <c r="K13" s="31" t="s">
        <v>116</v>
      </c>
      <c r="L13" s="7" t="s">
        <v>117</v>
      </c>
      <c r="M13" s="55" t="s">
        <v>323</v>
      </c>
      <c r="N13" s="119" t="s">
        <v>109</v>
      </c>
      <c r="O13" s="7">
        <v>16</v>
      </c>
      <c r="P13" s="7">
        <v>4.5999999999999996</v>
      </c>
      <c r="Q13" s="7">
        <v>25296</v>
      </c>
      <c r="R13" s="56">
        <v>4350</v>
      </c>
      <c r="S13" s="49"/>
      <c r="V13" t="s">
        <v>43</v>
      </c>
      <c r="W13" s="70" t="s">
        <v>0</v>
      </c>
      <c r="X13" s="70" t="s">
        <v>0</v>
      </c>
      <c r="Y13" s="53" t="s">
        <v>41</v>
      </c>
      <c r="Z13" s="53"/>
      <c r="AA13" s="53" t="s">
        <v>41</v>
      </c>
      <c r="AB13" s="53"/>
      <c r="AC13" s="53"/>
      <c r="AD13" s="53"/>
      <c r="AE13" s="53"/>
      <c r="AF13" s="53" t="s">
        <v>41</v>
      </c>
      <c r="AG13" s="53" t="s">
        <v>41</v>
      </c>
      <c r="AH13" s="53" t="s">
        <v>41</v>
      </c>
      <c r="AI13" s="53" t="s">
        <v>41</v>
      </c>
      <c r="AJ13" s="53"/>
      <c r="AP13" t="s">
        <v>324</v>
      </c>
      <c r="AQ13" t="s">
        <v>325</v>
      </c>
      <c r="AR13" t="s">
        <v>326</v>
      </c>
      <c r="AS13" t="s">
        <v>327</v>
      </c>
      <c r="AT13" t="s">
        <v>328</v>
      </c>
      <c r="AU13" t="s">
        <v>329</v>
      </c>
      <c r="AV13" t="s">
        <v>330</v>
      </c>
      <c r="AW13" t="s">
        <v>331</v>
      </c>
      <c r="AX13" t="s">
        <v>297</v>
      </c>
      <c r="AY13" t="s">
        <v>332</v>
      </c>
      <c r="AZ13" t="s">
        <v>333</v>
      </c>
      <c r="BA13" t="s">
        <v>334</v>
      </c>
      <c r="BB13" t="s">
        <v>335</v>
      </c>
      <c r="BC13" t="s">
        <v>336</v>
      </c>
      <c r="BD13" t="s">
        <v>337</v>
      </c>
      <c r="BE13" t="s">
        <v>338</v>
      </c>
      <c r="BF13" t="s">
        <v>339</v>
      </c>
      <c r="BG13" t="s">
        <v>340</v>
      </c>
      <c r="BH13" t="s">
        <v>341</v>
      </c>
      <c r="BI13" t="s">
        <v>342</v>
      </c>
      <c r="BJ13" t="s">
        <v>343</v>
      </c>
      <c r="BK13" t="s">
        <v>344</v>
      </c>
      <c r="BL13" t="s">
        <v>345</v>
      </c>
      <c r="BM13" t="s">
        <v>346</v>
      </c>
      <c r="BN13" t="s">
        <v>347</v>
      </c>
      <c r="BO13" t="s">
        <v>348</v>
      </c>
    </row>
    <row r="14" spans="2:99" ht="275.5" hidden="1">
      <c r="B14" s="6" t="s">
        <v>41</v>
      </c>
      <c r="C14" s="6" t="s">
        <v>41</v>
      </c>
      <c r="D14" s="6"/>
      <c r="E14" s="186"/>
      <c r="F14" s="65" t="s">
        <v>41</v>
      </c>
      <c r="G14" s="65" t="s">
        <v>41</v>
      </c>
      <c r="H14" s="65" t="s">
        <v>41</v>
      </c>
      <c r="I14" s="65" t="s">
        <v>41</v>
      </c>
      <c r="J14" s="66"/>
      <c r="K14" s="31" t="s">
        <v>98</v>
      </c>
      <c r="L14" s="7" t="s">
        <v>119</v>
      </c>
      <c r="M14" s="138" t="s">
        <v>349</v>
      </c>
      <c r="N14" s="119" t="s">
        <v>121</v>
      </c>
      <c r="O14" s="7">
        <v>32</v>
      </c>
      <c r="P14" s="7"/>
      <c r="Q14" s="7"/>
      <c r="R14" s="56"/>
      <c r="S14" s="49"/>
      <c r="V14" t="s">
        <v>44</v>
      </c>
      <c r="W14" s="70" t="s">
        <v>0</v>
      </c>
      <c r="X14" s="70" t="s">
        <v>0</v>
      </c>
      <c r="Y14" s="53" t="s">
        <v>41</v>
      </c>
      <c r="Z14" s="53"/>
      <c r="AA14" s="53" t="s">
        <v>41</v>
      </c>
      <c r="AB14" s="53"/>
      <c r="AC14" s="53"/>
      <c r="AD14" s="53"/>
      <c r="AE14" s="53"/>
      <c r="AF14" s="53" t="s">
        <v>41</v>
      </c>
      <c r="AG14" s="53" t="s">
        <v>41</v>
      </c>
      <c r="AH14" s="53" t="s">
        <v>41</v>
      </c>
      <c r="AI14" s="53" t="s">
        <v>41</v>
      </c>
      <c r="AJ14" s="53"/>
    </row>
    <row r="15" spans="2:99" ht="58" hidden="1">
      <c r="B15" s="6" t="s">
        <v>41</v>
      </c>
      <c r="C15" s="6" t="s">
        <v>41</v>
      </c>
      <c r="D15" s="6"/>
      <c r="E15" s="186"/>
      <c r="F15" s="65" t="s">
        <v>41</v>
      </c>
      <c r="G15" s="65" t="s">
        <v>41</v>
      </c>
      <c r="H15" s="65" t="s">
        <v>41</v>
      </c>
      <c r="I15" s="65" t="s">
        <v>41</v>
      </c>
      <c r="J15" s="66"/>
      <c r="K15" s="31" t="s">
        <v>99</v>
      </c>
      <c r="L15" s="57" t="s">
        <v>122</v>
      </c>
      <c r="M15" s="55" t="s">
        <v>350</v>
      </c>
      <c r="N15" s="119" t="s">
        <v>351</v>
      </c>
      <c r="O15" s="7">
        <v>18</v>
      </c>
      <c r="P15" s="7"/>
      <c r="Q15" s="7"/>
      <c r="R15" s="56"/>
      <c r="S15" s="49"/>
    </row>
    <row r="16" spans="2:99" ht="52.5" hidden="1" customHeight="1">
      <c r="B16" s="6" t="s">
        <v>41</v>
      </c>
      <c r="C16" s="6" t="s">
        <v>41</v>
      </c>
      <c r="D16" s="6"/>
      <c r="E16" s="186"/>
      <c r="F16" s="65" t="s">
        <v>41</v>
      </c>
      <c r="G16" s="65" t="s">
        <v>41</v>
      </c>
      <c r="H16" s="65"/>
      <c r="I16" s="65"/>
      <c r="J16" s="66"/>
      <c r="K16" s="31" t="s">
        <v>100</v>
      </c>
      <c r="L16" s="7" t="s">
        <v>123</v>
      </c>
      <c r="M16" s="55" t="s">
        <v>352</v>
      </c>
      <c r="N16" s="120" t="s">
        <v>125</v>
      </c>
      <c r="O16" s="7">
        <v>4</v>
      </c>
      <c r="P16" s="7" t="s">
        <v>126</v>
      </c>
      <c r="Q16" s="7" t="s">
        <v>127</v>
      </c>
      <c r="R16" s="56"/>
      <c r="S16" s="49"/>
      <c r="AJ16" s="70" t="s">
        <v>28</v>
      </c>
      <c r="AK16" t="str">
        <f>_xlfn.CONCAT("MD ", AJ16)</f>
        <v>MD Deloitte</v>
      </c>
    </row>
    <row r="17" spans="2:121" ht="66" hidden="1" customHeight="1">
      <c r="B17" s="6" t="s">
        <v>41</v>
      </c>
      <c r="C17" s="6" t="s">
        <v>41</v>
      </c>
      <c r="D17" s="6"/>
      <c r="E17" s="186"/>
      <c r="F17" s="65" t="s">
        <v>41</v>
      </c>
      <c r="G17" s="65" t="s">
        <v>41</v>
      </c>
      <c r="H17" s="65"/>
      <c r="I17" s="65"/>
      <c r="J17" s="66"/>
      <c r="K17" s="31" t="s">
        <v>101</v>
      </c>
      <c r="L17" s="7" t="s">
        <v>128</v>
      </c>
      <c r="M17" s="55" t="s">
        <v>353</v>
      </c>
      <c r="N17" s="120" t="s">
        <v>125</v>
      </c>
      <c r="O17" s="7">
        <v>4</v>
      </c>
      <c r="P17" s="7" t="s">
        <v>126</v>
      </c>
      <c r="Q17" s="7"/>
      <c r="R17" s="56"/>
      <c r="S17" s="49"/>
      <c r="W17" s="71">
        <v>3</v>
      </c>
      <c r="X17" s="71">
        <v>2.5</v>
      </c>
      <c r="Y17" s="66">
        <f>Y19/8</f>
        <v>2</v>
      </c>
      <c r="Z17" s="66">
        <f t="shared" ref="Z17:AE17" si="4">Z19/8</f>
        <v>10</v>
      </c>
      <c r="AA17" s="66">
        <f t="shared" si="4"/>
        <v>1</v>
      </c>
      <c r="AB17" s="66">
        <f t="shared" si="4"/>
        <v>4</v>
      </c>
      <c r="AC17" s="66">
        <f t="shared" si="4"/>
        <v>2.25</v>
      </c>
      <c r="AD17" s="66">
        <f t="shared" si="4"/>
        <v>0.5</v>
      </c>
      <c r="AE17" s="66">
        <f t="shared" si="4"/>
        <v>6</v>
      </c>
      <c r="AJ17" s="70" t="s">
        <v>29</v>
      </c>
      <c r="AK17" t="str">
        <f t="shared" ref="AK17:AK29" si="5">_xlfn.CONCAT("MD ", AJ17)</f>
        <v>MD Dextra Processes</v>
      </c>
    </row>
    <row r="18" spans="2:121" ht="66" hidden="1" customHeight="1">
      <c r="B18" s="6" t="s">
        <v>41</v>
      </c>
      <c r="C18" s="6"/>
      <c r="D18" s="6"/>
      <c r="E18" s="186"/>
      <c r="F18" s="65" t="s">
        <v>41</v>
      </c>
      <c r="G18" s="65" t="s">
        <v>41</v>
      </c>
      <c r="H18" s="65" t="s">
        <v>41</v>
      </c>
      <c r="I18" s="65" t="s">
        <v>41</v>
      </c>
      <c r="J18" s="66"/>
      <c r="K18" s="31" t="s">
        <v>130</v>
      </c>
      <c r="L18" s="7" t="s">
        <v>131</v>
      </c>
      <c r="M18" s="128" t="s">
        <v>354</v>
      </c>
      <c r="N18" s="36"/>
      <c r="O18" s="7">
        <v>1</v>
      </c>
      <c r="P18" s="7" t="s">
        <v>69</v>
      </c>
      <c r="Q18" s="7"/>
      <c r="R18" s="56"/>
      <c r="S18" s="49"/>
      <c r="W18" s="71"/>
      <c r="X18" s="71"/>
      <c r="Y18" s="66"/>
      <c r="Z18" s="66"/>
      <c r="AA18" s="66"/>
      <c r="AB18" s="66"/>
      <c r="AC18" s="66"/>
      <c r="AD18" s="66"/>
      <c r="AE18" s="66"/>
      <c r="AJ18" s="145"/>
    </row>
    <row r="19" spans="2:121" ht="62.25" hidden="1" customHeight="1">
      <c r="B19" s="6" t="s">
        <v>41</v>
      </c>
      <c r="C19" s="6" t="s">
        <v>41</v>
      </c>
      <c r="D19" s="6"/>
      <c r="E19" s="186"/>
      <c r="F19" s="65"/>
      <c r="G19" s="65" t="s">
        <v>41</v>
      </c>
      <c r="H19" s="65" t="s">
        <v>41</v>
      </c>
      <c r="I19" s="65" t="s">
        <v>41</v>
      </c>
      <c r="J19" s="66"/>
      <c r="K19" s="31" t="s">
        <v>102</v>
      </c>
      <c r="L19" s="7" t="s">
        <v>133</v>
      </c>
      <c r="M19" s="55" t="s">
        <v>355</v>
      </c>
      <c r="N19" s="120" t="s">
        <v>135</v>
      </c>
      <c r="O19" s="7">
        <v>4</v>
      </c>
      <c r="P19" s="7" t="s">
        <v>136</v>
      </c>
      <c r="Q19" s="7" t="s">
        <v>127</v>
      </c>
      <c r="R19" s="56"/>
      <c r="S19" s="49"/>
      <c r="W19" s="71" t="s">
        <v>0</v>
      </c>
      <c r="X19" s="71">
        <v>25</v>
      </c>
      <c r="Y19" s="66">
        <v>16</v>
      </c>
      <c r="Z19" s="66">
        <v>80</v>
      </c>
      <c r="AA19" s="66">
        <v>8</v>
      </c>
      <c r="AB19" s="66">
        <v>32</v>
      </c>
      <c r="AC19" s="66">
        <v>18</v>
      </c>
      <c r="AD19" s="66">
        <v>4</v>
      </c>
      <c r="AE19" s="66">
        <v>48</v>
      </c>
      <c r="AJ19" s="21" t="s">
        <v>96</v>
      </c>
      <c r="AK19" t="str">
        <f t="shared" si="5"/>
        <v>MD Patterns</v>
      </c>
    </row>
    <row r="20" spans="2:121" ht="68.25" hidden="1" customHeight="1">
      <c r="B20" s="6" t="s">
        <v>41</v>
      </c>
      <c r="C20" s="6" t="s">
        <v>41</v>
      </c>
      <c r="D20" s="6"/>
      <c r="E20" s="186"/>
      <c r="F20" s="65"/>
      <c r="G20" s="65" t="s">
        <v>41</v>
      </c>
      <c r="H20" s="65" t="s">
        <v>41</v>
      </c>
      <c r="I20" s="65" t="s">
        <v>41</v>
      </c>
      <c r="J20" s="66"/>
      <c r="K20" s="31" t="s">
        <v>103</v>
      </c>
      <c r="L20" s="7" t="s">
        <v>137</v>
      </c>
      <c r="M20" s="55" t="s">
        <v>356</v>
      </c>
      <c r="N20" s="120" t="s">
        <v>135</v>
      </c>
      <c r="O20" s="7">
        <v>3</v>
      </c>
      <c r="P20" s="7">
        <v>4</v>
      </c>
      <c r="Q20" s="7"/>
      <c r="R20" s="56"/>
      <c r="S20" s="49"/>
      <c r="W20" s="72" t="s">
        <v>28</v>
      </c>
      <c r="X20" s="72" t="s">
        <v>29</v>
      </c>
      <c r="Y20" s="73" t="s">
        <v>96</v>
      </c>
      <c r="Z20" s="66" t="s">
        <v>75</v>
      </c>
      <c r="AA20" s="66" t="s">
        <v>139</v>
      </c>
      <c r="AB20" s="66" t="s">
        <v>98</v>
      </c>
      <c r="AC20" s="66" t="s">
        <v>99</v>
      </c>
      <c r="AD20" s="66" t="s">
        <v>140</v>
      </c>
      <c r="AE20" s="66" t="s">
        <v>141</v>
      </c>
      <c r="AJ20" s="21" t="s">
        <v>30</v>
      </c>
      <c r="AK20" t="str">
        <f t="shared" si="5"/>
        <v>MD React</v>
      </c>
    </row>
    <row r="21" spans="2:121" ht="68.25" hidden="1" customHeight="1">
      <c r="B21" s="6"/>
      <c r="C21" s="6"/>
      <c r="D21" s="6"/>
      <c r="E21" s="186"/>
      <c r="F21" s="65"/>
      <c r="G21" s="65" t="s">
        <v>41</v>
      </c>
      <c r="H21" s="65" t="s">
        <v>41</v>
      </c>
      <c r="I21" s="65" t="s">
        <v>41</v>
      </c>
      <c r="J21" s="66"/>
      <c r="K21" s="31" t="s">
        <v>130</v>
      </c>
      <c r="L21" s="7" t="s">
        <v>142</v>
      </c>
      <c r="M21" s="128" t="s">
        <v>357</v>
      </c>
      <c r="N21" s="36"/>
      <c r="O21" s="7">
        <v>4</v>
      </c>
      <c r="P21" s="7"/>
      <c r="Q21" s="7"/>
      <c r="R21" s="56"/>
      <c r="S21" s="49"/>
      <c r="W21" s="72"/>
      <c r="X21" s="72"/>
      <c r="Y21" s="73"/>
      <c r="Z21" s="66"/>
      <c r="AA21" s="66"/>
      <c r="AB21" s="66"/>
      <c r="AC21" s="66"/>
      <c r="AD21" s="66"/>
      <c r="AE21" s="66"/>
      <c r="AJ21" s="21"/>
    </row>
    <row r="22" spans="2:121" ht="50.25" hidden="1" customHeight="1">
      <c r="B22" s="6" t="s">
        <v>41</v>
      </c>
      <c r="C22" s="6" t="s">
        <v>41</v>
      </c>
      <c r="D22" s="6"/>
      <c r="E22" s="186"/>
      <c r="F22" s="65"/>
      <c r="G22" s="65"/>
      <c r="H22" s="65" t="s">
        <v>41</v>
      </c>
      <c r="I22" s="65" t="s">
        <v>41</v>
      </c>
      <c r="J22" s="66"/>
      <c r="K22" s="31" t="s">
        <v>104</v>
      </c>
      <c r="L22" s="7" t="s">
        <v>144</v>
      </c>
      <c r="M22" s="55" t="s">
        <v>358</v>
      </c>
      <c r="N22" s="120" t="s">
        <v>146</v>
      </c>
      <c r="O22" s="7">
        <v>4</v>
      </c>
      <c r="P22" s="7">
        <v>4</v>
      </c>
      <c r="Q22" s="7"/>
      <c r="R22" s="56"/>
      <c r="S22" s="49"/>
      <c r="V22" t="s">
        <v>40</v>
      </c>
      <c r="W22" s="72" t="s">
        <v>0</v>
      </c>
      <c r="X22" s="72" t="s">
        <v>0</v>
      </c>
      <c r="Y22" s="64" t="s">
        <v>41</v>
      </c>
      <c r="Z22" s="65" t="s">
        <v>41</v>
      </c>
      <c r="AA22" s="65" t="s">
        <v>41</v>
      </c>
      <c r="AB22" s="65" t="s">
        <v>41</v>
      </c>
      <c r="AC22" s="65" t="s">
        <v>41</v>
      </c>
      <c r="AD22" s="65" t="s">
        <v>41</v>
      </c>
      <c r="AE22" s="65" t="s">
        <v>41</v>
      </c>
      <c r="AJ22" s="21" t="s">
        <v>97</v>
      </c>
      <c r="AK22" t="str">
        <f t="shared" si="5"/>
        <v>MD React / Testing / Jest</v>
      </c>
    </row>
    <row r="23" spans="2:121" ht="56.25" hidden="1" customHeight="1">
      <c r="B23" s="6" t="s">
        <v>41</v>
      </c>
      <c r="C23" s="6"/>
      <c r="D23" s="6"/>
      <c r="E23" s="186"/>
      <c r="F23" s="65"/>
      <c r="G23" s="65"/>
      <c r="H23" s="65" t="s">
        <v>41</v>
      </c>
      <c r="I23" s="65" t="s">
        <v>41</v>
      </c>
      <c r="J23" s="66"/>
      <c r="K23" s="31" t="s">
        <v>105</v>
      </c>
      <c r="L23" s="7" t="s">
        <v>147</v>
      </c>
      <c r="M23" s="55" t="s">
        <v>359</v>
      </c>
      <c r="N23" s="120" t="s">
        <v>146</v>
      </c>
      <c r="O23" s="7">
        <v>4</v>
      </c>
      <c r="P23" s="7"/>
      <c r="Q23" s="7"/>
      <c r="R23" s="56" t="s">
        <v>149</v>
      </c>
      <c r="S23" s="49"/>
      <c r="V23" t="s">
        <v>85</v>
      </c>
      <c r="W23" s="72" t="s">
        <v>0</v>
      </c>
      <c r="X23" s="72" t="s">
        <v>0</v>
      </c>
      <c r="Y23" s="64" t="s">
        <v>41</v>
      </c>
      <c r="Z23" s="65" t="s">
        <v>41</v>
      </c>
      <c r="AA23" s="65" t="s">
        <v>41</v>
      </c>
      <c r="AB23" s="65" t="s">
        <v>41</v>
      </c>
      <c r="AC23" s="65" t="s">
        <v>41</v>
      </c>
      <c r="AD23" s="65" t="s">
        <v>41</v>
      </c>
      <c r="AE23" s="65" t="s">
        <v>41</v>
      </c>
      <c r="AJ23" s="52" t="s">
        <v>98</v>
      </c>
      <c r="AK23" t="str">
        <f t="shared" si="5"/>
        <v>MD Exercise 1</v>
      </c>
    </row>
    <row r="24" spans="2:121" ht="56.25" hidden="1" customHeight="1">
      <c r="B24" s="6"/>
      <c r="C24" s="6"/>
      <c r="D24" s="6"/>
      <c r="E24" s="186"/>
      <c r="F24" s="65"/>
      <c r="G24" s="65"/>
      <c r="H24" s="65" t="s">
        <v>41</v>
      </c>
      <c r="I24" s="65" t="s">
        <v>41</v>
      </c>
      <c r="J24" s="66"/>
      <c r="K24" s="31" t="s">
        <v>130</v>
      </c>
      <c r="L24" s="7" t="s">
        <v>150</v>
      </c>
      <c r="M24" s="128" t="s">
        <v>360</v>
      </c>
      <c r="N24" s="36"/>
      <c r="O24" s="7">
        <v>4</v>
      </c>
      <c r="P24" s="7"/>
      <c r="Q24" s="7"/>
      <c r="R24" s="56"/>
      <c r="S24" s="49"/>
      <c r="W24" s="72"/>
      <c r="X24" s="72"/>
      <c r="Y24" s="64"/>
      <c r="Z24" s="65"/>
      <c r="AA24" s="65"/>
      <c r="AB24" s="65"/>
      <c r="AC24" s="65"/>
      <c r="AD24" s="65"/>
      <c r="AE24" s="65"/>
      <c r="AJ24" s="52"/>
    </row>
    <row r="25" spans="2:121" ht="116" hidden="1">
      <c r="B25" s="6" t="s">
        <v>41</v>
      </c>
      <c r="C25" s="6" t="s">
        <v>41</v>
      </c>
      <c r="D25" s="6"/>
      <c r="E25" s="186"/>
      <c r="F25" s="65" t="s">
        <v>41</v>
      </c>
      <c r="G25" s="65" t="s">
        <v>41</v>
      </c>
      <c r="H25" s="65" t="s">
        <v>41</v>
      </c>
      <c r="I25" s="65" t="s">
        <v>41</v>
      </c>
      <c r="J25" s="66"/>
      <c r="K25" s="31" t="s">
        <v>106</v>
      </c>
      <c r="L25" s="146" t="s">
        <v>153</v>
      </c>
      <c r="M25" s="55" t="s">
        <v>361</v>
      </c>
      <c r="N25" s="119" t="s">
        <v>121</v>
      </c>
      <c r="O25" s="7">
        <v>60</v>
      </c>
      <c r="P25" s="7"/>
      <c r="Q25" s="7"/>
      <c r="R25" s="56"/>
      <c r="S25" s="49"/>
      <c r="V25" t="s">
        <v>43</v>
      </c>
      <c r="W25" s="72" t="s">
        <v>0</v>
      </c>
      <c r="X25" s="72" t="s">
        <v>0</v>
      </c>
      <c r="Y25" s="64" t="s">
        <v>41</v>
      </c>
      <c r="Z25" s="65"/>
      <c r="AA25" s="65" t="s">
        <v>41</v>
      </c>
      <c r="AB25" s="65" t="s">
        <v>41</v>
      </c>
      <c r="AC25" s="65" t="s">
        <v>41</v>
      </c>
      <c r="AD25" s="65" t="s">
        <v>41</v>
      </c>
      <c r="AE25" s="65" t="s">
        <v>41</v>
      </c>
      <c r="AJ25" s="52" t="s">
        <v>99</v>
      </c>
      <c r="AK25" t="str">
        <f t="shared" si="5"/>
        <v>MD Exercise 2</v>
      </c>
    </row>
    <row r="26" spans="2:121" ht="43.5" hidden="1">
      <c r="B26" s="6" t="s">
        <v>41</v>
      </c>
      <c r="C26" s="6"/>
      <c r="D26" s="6" t="s">
        <v>41</v>
      </c>
      <c r="E26" s="186"/>
      <c r="F26" s="65" t="s">
        <v>41</v>
      </c>
      <c r="G26" s="65" t="s">
        <v>41</v>
      </c>
      <c r="H26" s="65"/>
      <c r="I26" s="65"/>
      <c r="J26" s="66">
        <v>5</v>
      </c>
      <c r="K26" s="31" t="s">
        <v>75</v>
      </c>
      <c r="L26" s="7" t="s">
        <v>157</v>
      </c>
      <c r="M26" s="55" t="s">
        <v>362</v>
      </c>
      <c r="N26" s="119" t="s">
        <v>109</v>
      </c>
      <c r="O26" s="7">
        <v>80</v>
      </c>
      <c r="P26" s="7">
        <v>4.7</v>
      </c>
      <c r="Q26" s="7">
        <v>183.143</v>
      </c>
      <c r="R26" s="56">
        <v>36957</v>
      </c>
      <c r="S26" s="58" t="s">
        <v>159</v>
      </c>
      <c r="W26" s="72" t="s">
        <v>28</v>
      </c>
      <c r="Y26" t="str">
        <f>_xlfn.CONCAT("MD ", W26)</f>
        <v>MD Deloitte</v>
      </c>
      <c r="AJ26" s="21" t="s">
        <v>103</v>
      </c>
      <c r="AK26" t="str">
        <f t="shared" si="5"/>
        <v>MD React Labs 4</v>
      </c>
      <c r="AP26" t="s">
        <v>363</v>
      </c>
      <c r="AQ26" t="s">
        <v>364</v>
      </c>
      <c r="AR26" t="s">
        <v>232</v>
      </c>
      <c r="AS26" t="s">
        <v>365</v>
      </c>
      <c r="AT26" t="s">
        <v>366</v>
      </c>
      <c r="AU26" t="s">
        <v>367</v>
      </c>
      <c r="AV26" t="s">
        <v>368</v>
      </c>
      <c r="AW26" t="s">
        <v>369</v>
      </c>
      <c r="AX26" t="s">
        <v>297</v>
      </c>
      <c r="AY26" t="s">
        <v>370</v>
      </c>
      <c r="AZ26" t="s">
        <v>371</v>
      </c>
      <c r="BA26" t="s">
        <v>372</v>
      </c>
      <c r="BB26" t="s">
        <v>373</v>
      </c>
      <c r="BC26" t="s">
        <v>374</v>
      </c>
      <c r="BD26" t="s">
        <v>375</v>
      </c>
      <c r="BE26" t="s">
        <v>376</v>
      </c>
      <c r="BF26" t="s">
        <v>377</v>
      </c>
      <c r="BG26" t="s">
        <v>378</v>
      </c>
      <c r="BH26" t="s">
        <v>379</v>
      </c>
      <c r="BI26" t="s">
        <v>380</v>
      </c>
      <c r="BJ26" t="s">
        <v>381</v>
      </c>
      <c r="BK26" t="s">
        <v>382</v>
      </c>
      <c r="BL26" t="s">
        <v>383</v>
      </c>
      <c r="BM26" t="s">
        <v>384</v>
      </c>
      <c r="BN26" t="s">
        <v>385</v>
      </c>
      <c r="BO26" t="s">
        <v>386</v>
      </c>
      <c r="BP26" t="s">
        <v>387</v>
      </c>
      <c r="BQ26" t="s">
        <v>388</v>
      </c>
      <c r="BR26" t="s">
        <v>389</v>
      </c>
      <c r="BS26" t="s">
        <v>390</v>
      </c>
      <c r="BT26" t="s">
        <v>391</v>
      </c>
      <c r="BU26" t="s">
        <v>392</v>
      </c>
      <c r="BV26" t="s">
        <v>393</v>
      </c>
      <c r="BW26" t="s">
        <v>394</v>
      </c>
      <c r="BX26" t="s">
        <v>395</v>
      </c>
      <c r="BY26" t="s">
        <v>396</v>
      </c>
      <c r="BZ26" t="s">
        <v>397</v>
      </c>
      <c r="CA26" t="s">
        <v>398</v>
      </c>
      <c r="CB26" t="s">
        <v>399</v>
      </c>
      <c r="CC26" t="s">
        <v>400</v>
      </c>
      <c r="CD26" t="s">
        <v>401</v>
      </c>
      <c r="CE26" t="s">
        <v>402</v>
      </c>
      <c r="CF26" t="s">
        <v>403</v>
      </c>
      <c r="CG26" t="s">
        <v>404</v>
      </c>
      <c r="CH26" t="s">
        <v>405</v>
      </c>
      <c r="CI26" t="s">
        <v>406</v>
      </c>
      <c r="CJ26" t="s">
        <v>407</v>
      </c>
      <c r="CK26" t="s">
        <v>408</v>
      </c>
      <c r="CL26" t="s">
        <v>409</v>
      </c>
      <c r="CM26" t="s">
        <v>410</v>
      </c>
      <c r="CN26" t="s">
        <v>411</v>
      </c>
      <c r="CO26" t="s">
        <v>412</v>
      </c>
      <c r="CP26" t="s">
        <v>413</v>
      </c>
      <c r="CQ26" t="s">
        <v>414</v>
      </c>
      <c r="CR26" t="s">
        <v>415</v>
      </c>
      <c r="CS26" t="s">
        <v>416</v>
      </c>
      <c r="CT26" t="s">
        <v>417</v>
      </c>
      <c r="CU26" t="s">
        <v>418</v>
      </c>
      <c r="CV26" t="s">
        <v>419</v>
      </c>
      <c r="CW26" t="s">
        <v>420</v>
      </c>
      <c r="CX26" t="s">
        <v>421</v>
      </c>
      <c r="CY26" t="s">
        <v>422</v>
      </c>
      <c r="CZ26" t="s">
        <v>423</v>
      </c>
      <c r="DA26" t="s">
        <v>424</v>
      </c>
      <c r="DB26" t="s">
        <v>425</v>
      </c>
      <c r="DC26" t="s">
        <v>426</v>
      </c>
      <c r="DD26" t="s">
        <v>427</v>
      </c>
      <c r="DE26" t="s">
        <v>428</v>
      </c>
      <c r="DF26" t="s">
        <v>429</v>
      </c>
      <c r="DG26" t="s">
        <v>430</v>
      </c>
      <c r="DH26" t="s">
        <v>431</v>
      </c>
      <c r="DI26" t="s">
        <v>432</v>
      </c>
      <c r="DJ26" t="s">
        <v>433</v>
      </c>
      <c r="DK26" t="s">
        <v>434</v>
      </c>
      <c r="DL26" t="s">
        <v>435</v>
      </c>
      <c r="DM26" t="s">
        <v>436</v>
      </c>
      <c r="DN26" t="s">
        <v>437</v>
      </c>
      <c r="DO26" t="s">
        <v>438</v>
      </c>
      <c r="DP26" t="s">
        <v>439</v>
      </c>
      <c r="DQ26" t="s">
        <v>440</v>
      </c>
    </row>
    <row r="27" spans="2:121" ht="43.5" hidden="1">
      <c r="B27" s="6" t="s">
        <v>41</v>
      </c>
      <c r="C27" s="6"/>
      <c r="D27" s="6" t="s">
        <v>41</v>
      </c>
      <c r="E27" s="186"/>
      <c r="F27" s="65" t="s">
        <v>41</v>
      </c>
      <c r="G27" s="65" t="s">
        <v>41</v>
      </c>
      <c r="H27" s="65" t="s">
        <v>41</v>
      </c>
      <c r="I27" s="65" t="s">
        <v>41</v>
      </c>
      <c r="J27" s="66">
        <v>6</v>
      </c>
      <c r="K27" s="31" t="s">
        <v>160</v>
      </c>
      <c r="L27" s="7" t="s">
        <v>161</v>
      </c>
      <c r="M27" s="55" t="s">
        <v>441</v>
      </c>
      <c r="N27" s="119" t="s">
        <v>109</v>
      </c>
      <c r="O27" s="7">
        <v>8</v>
      </c>
      <c r="P27" s="7">
        <v>4.5</v>
      </c>
      <c r="Q27" s="7">
        <v>9758</v>
      </c>
      <c r="R27" s="56">
        <v>1186</v>
      </c>
      <c r="S27" s="49"/>
      <c r="W27" s="72" t="s">
        <v>29</v>
      </c>
      <c r="Y27" t="str">
        <f t="shared" ref="Y27:Y34" si="6">_xlfn.CONCAT("MD ", W27)</f>
        <v>MD Dextra Processes</v>
      </c>
      <c r="AJ27" s="21" t="s">
        <v>104</v>
      </c>
      <c r="AK27" t="str">
        <f t="shared" si="5"/>
        <v>MD React Labs 5</v>
      </c>
      <c r="AP27" t="s">
        <v>442</v>
      </c>
      <c r="AQ27" t="s">
        <v>443</v>
      </c>
      <c r="AR27" t="s">
        <v>444</v>
      </c>
      <c r="AS27" t="s">
        <v>445</v>
      </c>
      <c r="AT27" t="s">
        <v>446</v>
      </c>
      <c r="AU27" t="s">
        <v>447</v>
      </c>
      <c r="AV27" t="s">
        <v>448</v>
      </c>
      <c r="AW27" t="s">
        <v>449</v>
      </c>
      <c r="AX27" t="s">
        <v>450</v>
      </c>
      <c r="AY27" t="s">
        <v>451</v>
      </c>
      <c r="AZ27" t="s">
        <v>452</v>
      </c>
      <c r="BA27" t="s">
        <v>453</v>
      </c>
      <c r="BB27" t="s">
        <v>454</v>
      </c>
      <c r="BC27" t="s">
        <v>455</v>
      </c>
      <c r="BD27" t="s">
        <v>456</v>
      </c>
      <c r="BE27" t="s">
        <v>457</v>
      </c>
      <c r="BF27" t="s">
        <v>458</v>
      </c>
      <c r="BG27" t="s">
        <v>459</v>
      </c>
      <c r="BH27" t="s">
        <v>460</v>
      </c>
      <c r="BI27" t="s">
        <v>461</v>
      </c>
      <c r="BJ27" t="s">
        <v>462</v>
      </c>
      <c r="BK27" t="s">
        <v>463</v>
      </c>
      <c r="BL27" t="s">
        <v>464</v>
      </c>
      <c r="BM27" t="s">
        <v>465</v>
      </c>
      <c r="BN27" t="s">
        <v>466</v>
      </c>
      <c r="BO27" t="s">
        <v>467</v>
      </c>
    </row>
    <row r="28" spans="2:121" ht="145" hidden="1">
      <c r="B28" s="6" t="s">
        <v>41</v>
      </c>
      <c r="C28" s="6"/>
      <c r="D28" s="6" t="s">
        <v>41</v>
      </c>
      <c r="E28" s="186"/>
      <c r="F28" s="65" t="s">
        <v>41</v>
      </c>
      <c r="G28" s="65" t="s">
        <v>41</v>
      </c>
      <c r="H28" s="65" t="s">
        <v>41</v>
      </c>
      <c r="I28" s="65" t="s">
        <v>41</v>
      </c>
      <c r="J28" s="66"/>
      <c r="K28" s="31" t="s">
        <v>98</v>
      </c>
      <c r="L28" s="7" t="s">
        <v>119</v>
      </c>
      <c r="M28" s="138" t="s">
        <v>163</v>
      </c>
      <c r="N28" s="119" t="s">
        <v>121</v>
      </c>
      <c r="O28" s="7">
        <v>32</v>
      </c>
      <c r="P28" s="7"/>
      <c r="Q28" s="7"/>
      <c r="R28" s="56"/>
      <c r="S28" s="49"/>
      <c r="W28" s="73" t="s">
        <v>96</v>
      </c>
      <c r="Y28" t="str">
        <f t="shared" si="6"/>
        <v>MD Patterns</v>
      </c>
      <c r="AJ28" s="21" t="s">
        <v>105</v>
      </c>
      <c r="AK28" t="str">
        <f t="shared" si="5"/>
        <v>MD React Labs 6</v>
      </c>
    </row>
    <row r="29" spans="2:121" ht="14.5" hidden="1">
      <c r="B29" s="6" t="s">
        <v>41</v>
      </c>
      <c r="C29" s="6"/>
      <c r="D29" s="6" t="s">
        <v>41</v>
      </c>
      <c r="E29" s="186"/>
      <c r="F29" s="65" t="s">
        <v>41</v>
      </c>
      <c r="G29" s="65" t="s">
        <v>41</v>
      </c>
      <c r="H29" s="65" t="s">
        <v>41</v>
      </c>
      <c r="I29" s="65" t="s">
        <v>41</v>
      </c>
      <c r="J29" s="66"/>
      <c r="K29" s="31" t="s">
        <v>99</v>
      </c>
      <c r="L29" s="57" t="s">
        <v>122</v>
      </c>
      <c r="M29" s="55"/>
      <c r="N29" s="119" t="s">
        <v>121</v>
      </c>
      <c r="O29" s="7">
        <v>18</v>
      </c>
      <c r="P29" s="7"/>
      <c r="Q29" s="7"/>
      <c r="R29" s="56"/>
      <c r="S29" s="49"/>
      <c r="W29" s="66" t="s">
        <v>75</v>
      </c>
      <c r="Y29" t="str">
        <f t="shared" si="6"/>
        <v>MD Node</v>
      </c>
      <c r="AJ29" s="21" t="s">
        <v>106</v>
      </c>
      <c r="AK29" t="str">
        <f t="shared" si="5"/>
        <v>MD Projecto final (ejercicio React )</v>
      </c>
    </row>
    <row r="30" spans="2:121" ht="52.5" hidden="1" customHeight="1">
      <c r="B30" s="6" t="s">
        <v>41</v>
      </c>
      <c r="C30" s="6"/>
      <c r="D30" s="6" t="s">
        <v>41</v>
      </c>
      <c r="E30" s="186"/>
      <c r="F30" s="65" t="s">
        <v>41</v>
      </c>
      <c r="G30" s="65" t="s">
        <v>41</v>
      </c>
      <c r="H30" s="65" t="s">
        <v>41</v>
      </c>
      <c r="I30" s="65" t="s">
        <v>41</v>
      </c>
      <c r="J30" s="66"/>
      <c r="K30" s="31" t="s">
        <v>140</v>
      </c>
      <c r="L30" s="7" t="s">
        <v>164</v>
      </c>
      <c r="M30" s="55" t="s">
        <v>468</v>
      </c>
      <c r="N30" s="120" t="s">
        <v>166</v>
      </c>
      <c r="O30" s="7">
        <v>4</v>
      </c>
      <c r="P30" s="7"/>
      <c r="Q30" s="7"/>
      <c r="R30" s="56"/>
      <c r="S30" s="49"/>
      <c r="W30" s="66" t="s">
        <v>139</v>
      </c>
      <c r="Y30" t="str">
        <f t="shared" si="6"/>
        <v>MD Node / Testing</v>
      </c>
    </row>
    <row r="31" spans="2:121" ht="101.5" hidden="1">
      <c r="B31" s="6" t="s">
        <v>41</v>
      </c>
      <c r="C31" s="6"/>
      <c r="D31" s="6" t="s">
        <v>41</v>
      </c>
      <c r="E31" s="186"/>
      <c r="F31" s="65" t="s">
        <v>41</v>
      </c>
      <c r="G31" s="65" t="s">
        <v>41</v>
      </c>
      <c r="H31" s="65" t="s">
        <v>41</v>
      </c>
      <c r="I31" s="65" t="s">
        <v>41</v>
      </c>
      <c r="J31" s="66"/>
      <c r="K31" s="31" t="s">
        <v>141</v>
      </c>
      <c r="L31" s="146" t="s">
        <v>167</v>
      </c>
      <c r="M31" s="55" t="s">
        <v>469</v>
      </c>
      <c r="N31" s="119" t="s">
        <v>121</v>
      </c>
      <c r="O31" s="7">
        <v>48</v>
      </c>
      <c r="P31" s="7"/>
      <c r="Q31" s="7"/>
      <c r="R31" s="56"/>
      <c r="S31" s="59"/>
      <c r="W31" s="66" t="s">
        <v>98</v>
      </c>
      <c r="Y31" t="str">
        <f t="shared" si="6"/>
        <v>MD Exercise 1</v>
      </c>
    </row>
    <row r="32" spans="2:121" ht="14.5" hidden="1">
      <c r="B32" s="51"/>
      <c r="C32" s="51"/>
      <c r="D32" s="51"/>
      <c r="E32" s="187"/>
      <c r="F32" s="65"/>
      <c r="G32" s="65"/>
      <c r="H32" s="65"/>
      <c r="I32" s="65"/>
      <c r="J32" s="66"/>
      <c r="K32" s="188"/>
      <c r="L32" s="60"/>
      <c r="M32" s="61"/>
      <c r="N32" s="60"/>
      <c r="O32" s="60"/>
      <c r="P32" s="60"/>
      <c r="Q32" s="60"/>
      <c r="R32" s="62"/>
      <c r="S32" s="59"/>
      <c r="W32" s="66" t="s">
        <v>99</v>
      </c>
      <c r="Y32" t="str">
        <f t="shared" si="6"/>
        <v>MD Exercise 2</v>
      </c>
    </row>
    <row r="33" spans="2:25" ht="14.5">
      <c r="B33" s="7"/>
      <c r="C33" s="7"/>
      <c r="D33" s="7"/>
      <c r="E33" s="7"/>
      <c r="F33" s="65"/>
      <c r="G33" s="65"/>
      <c r="H33" s="65"/>
      <c r="I33" s="65"/>
      <c r="J33" s="190"/>
      <c r="K33" s="7"/>
      <c r="L33" s="7"/>
      <c r="M33" s="7"/>
      <c r="N33" s="7"/>
      <c r="O33" s="7"/>
      <c r="P33" s="7"/>
      <c r="Q33" s="7"/>
      <c r="R33" s="7"/>
      <c r="S33" s="7"/>
      <c r="W33" s="66" t="s">
        <v>140</v>
      </c>
      <c r="Y33" t="str">
        <f t="shared" si="6"/>
        <v>MD Node Labs</v>
      </c>
    </row>
    <row r="34" spans="2:25" ht="14.5">
      <c r="B34" s="7"/>
      <c r="C34" s="7"/>
      <c r="D34" s="7"/>
      <c r="E34" s="7"/>
      <c r="F34" s="65"/>
      <c r="G34" s="65"/>
      <c r="H34" s="65"/>
      <c r="I34" s="65"/>
      <c r="J34" s="7"/>
      <c r="K34" s="7"/>
      <c r="L34" s="60"/>
      <c r="M34" s="60"/>
      <c r="N34" s="60"/>
      <c r="O34" s="7"/>
      <c r="P34" s="7"/>
      <c r="Q34" s="7"/>
      <c r="R34" s="7"/>
      <c r="S34" s="7"/>
      <c r="W34" s="66" t="s">
        <v>141</v>
      </c>
      <c r="Y34" t="str">
        <f t="shared" si="6"/>
        <v>MD Projecto final (ejercicio Node )</v>
      </c>
    </row>
    <row r="35" spans="2:25" ht="14.5">
      <c r="B35" s="6"/>
      <c r="C35" s="6"/>
      <c r="D35" s="6"/>
      <c r="E35" s="6"/>
      <c r="F35" s="65"/>
      <c r="G35" s="65"/>
      <c r="H35" s="65"/>
      <c r="I35" s="65"/>
      <c r="J35" s="7"/>
      <c r="K35" s="56"/>
      <c r="L35" s="66"/>
      <c r="M35" s="66"/>
      <c r="N35" s="66"/>
      <c r="O35" s="31"/>
      <c r="P35" s="7"/>
      <c r="Q35" s="7"/>
      <c r="R35" s="56"/>
      <c r="S35" s="63"/>
    </row>
    <row r="36" spans="2:25" ht="14.5">
      <c r="B36" s="6"/>
      <c r="C36" s="6"/>
      <c r="D36" s="6"/>
      <c r="E36" s="6"/>
      <c r="F36" s="65"/>
      <c r="G36" s="65"/>
      <c r="H36" s="65"/>
      <c r="I36" s="65"/>
      <c r="J36" s="7"/>
      <c r="K36" s="56"/>
      <c r="L36" s="66"/>
      <c r="M36" s="66"/>
      <c r="N36" s="66"/>
      <c r="O36" s="31"/>
      <c r="P36" s="7"/>
      <c r="Q36" s="7"/>
      <c r="R36" s="56"/>
      <c r="S36" s="63"/>
    </row>
    <row r="37" spans="2:25" ht="14.5">
      <c r="B37" s="6"/>
      <c r="C37" s="6"/>
      <c r="D37" s="6"/>
      <c r="E37" s="6"/>
      <c r="F37" s="65"/>
      <c r="G37" s="65"/>
      <c r="H37" s="65"/>
      <c r="I37" s="65"/>
      <c r="J37" s="7"/>
      <c r="K37" s="56"/>
      <c r="L37" s="66"/>
      <c r="M37" s="144"/>
      <c r="N37" s="66"/>
      <c r="O37" s="31"/>
      <c r="P37" s="7"/>
      <c r="Q37" s="7"/>
      <c r="R37" s="56"/>
      <c r="S37" s="63"/>
    </row>
    <row r="38" spans="2:25" ht="14.5">
      <c r="B38" s="6"/>
      <c r="C38" s="6"/>
      <c r="D38" s="6"/>
      <c r="E38" s="6"/>
      <c r="F38" s="65"/>
      <c r="G38" s="65"/>
      <c r="H38" s="65"/>
      <c r="I38" s="65"/>
      <c r="J38" s="7"/>
      <c r="K38" s="56"/>
      <c r="L38" s="66"/>
      <c r="M38" s="144"/>
      <c r="N38" s="66"/>
      <c r="O38" s="31"/>
      <c r="P38" s="7"/>
      <c r="Q38" s="7"/>
      <c r="R38" s="56"/>
      <c r="S38" s="63"/>
    </row>
    <row r="39" spans="2:25" ht="14.5">
      <c r="B39" s="6"/>
      <c r="C39" s="6"/>
      <c r="D39" s="6"/>
      <c r="E39" s="6"/>
      <c r="F39" s="65"/>
      <c r="G39" s="65"/>
      <c r="H39" s="65"/>
      <c r="I39" s="65"/>
      <c r="J39" s="7"/>
      <c r="K39" s="56"/>
      <c r="L39" s="66"/>
      <c r="M39" s="66"/>
      <c r="N39" s="66"/>
      <c r="O39" s="31"/>
      <c r="P39" s="7"/>
      <c r="Q39" s="7"/>
      <c r="R39" s="56"/>
      <c r="S39" s="63"/>
    </row>
  </sheetData>
  <mergeCells count="2">
    <mergeCell ref="K5:L6"/>
    <mergeCell ref="N5:O6"/>
  </mergeCells>
  <conditionalFormatting sqref="F8:J8">
    <cfRule type="expression" dxfId="31" priority="6">
      <formula>ROW()=CELL("Row")</formula>
    </cfRule>
  </conditionalFormatting>
  <conditionalFormatting sqref="P8">
    <cfRule type="expression" dxfId="30" priority="5">
      <formula>ROW()=CELL("Row")</formula>
    </cfRule>
  </conditionalFormatting>
  <conditionalFormatting sqref="Q8">
    <cfRule type="expression" dxfId="29" priority="4">
      <formula>ROW()=CELL("Row")</formula>
    </cfRule>
  </conditionalFormatting>
  <conditionalFormatting sqref="R8">
    <cfRule type="expression" dxfId="28" priority="3">
      <formula>ROW()=CELL("Row")</formula>
    </cfRule>
  </conditionalFormatting>
  <conditionalFormatting sqref="K8:O8">
    <cfRule type="expression" dxfId="27" priority="2">
      <formula>ROW()=CELL("Row")</formula>
    </cfRule>
  </conditionalFormatting>
  <conditionalFormatting sqref="B8:E8">
    <cfRule type="expression" dxfId="26" priority="1">
      <formula>ROW()=CELL("Row")</formula>
    </cfRule>
  </conditionalFormatting>
  <hyperlinks>
    <hyperlink ref="M11" r:id="rId1" location="overview" xr:uid="{5BC10CFA-44FA-4EFE-B7B0-2664A4FC0A9C}"/>
    <hyperlink ref="M13" r:id="rId2" display="https://deloittedevelopment.udemy.com/course/react-testing-library/" xr:uid="{FFAEF4E6-06D0-4F2F-8013-A21D32841E81}"/>
    <hyperlink ref="M26" r:id="rId3" location="overview" display="https://deloittedevelopment.udemy.com/course/nodejs-the-complete-guide/learn/lecture/12256808 - overview" xr:uid="{D419D22F-46B2-490F-8304-F668C113BC97}"/>
    <hyperlink ref="M27" r:id="rId4" display="https://deloittedevelopment.udemy.com/course/nodejs-unit-testing-and-integration-testing-with-express-and-jest/" xr:uid="{7DF88B1D-C697-4DAA-BDE2-9824B0C87969}"/>
    <hyperlink ref="M10" r:id="rId5" display="https://deloittedevelopment.udemy.com/course/design-patterns-javascript/?src=sac&amp;kw=javascript+patt" xr:uid="{8CBF4337-C58C-44BC-A785-0E2819F6719C}"/>
    <hyperlink ref="M20" r:id="rId6" display="https://deloittedevelopment.udemy.com/labs/build-a-social-networking-page-with-react-and-redux/overview/" xr:uid="{57EFC4ED-86FE-4928-9690-07457D568AE8}"/>
    <hyperlink ref="M23" r:id="rId7" display="https://deloittedevelopment.udemy.com/labs/create-a-cicd-pipeline-for-a-react-web-application-using-devsecops-practices/overview/" xr:uid="{2AD434AE-C338-4448-A5DD-D6ED94318D16}"/>
    <hyperlink ref="M17" r:id="rId8" display="https://deloittedevelopment.udemy.com/labs/add-search-filter-functionality-to-a-react-app/overview/" xr:uid="{C7FA0C89-1379-48F7-878F-0AFBB38758E7}"/>
    <hyperlink ref="M22" r:id="rId9" display="https://deloittedevelopment.udemy.com/labs/build-a-complex-application-form-with-react-hooks-and-an-api/overview/" xr:uid="{CBC12AA6-8266-41D1-8CC6-FF4395E11161}"/>
    <hyperlink ref="M19" r:id="rId10" display="https://deloittedevelopment.udemy.com/labs/add-an-authentication-flow-and-route-protection-to-a-react-app/overview/" xr:uid="{457B0DC8-8A76-4C35-9000-1F9AAE264674}"/>
    <hyperlink ref="M16" r:id="rId11" display="https://deloittedevelopment.udemy.com/labs/create-a-calendar-to-display-event-data-with-react-typescript-and-css-grid/overview/" xr:uid="{12C651E3-34C1-48FE-AA40-9C785D7C2A27}"/>
    <hyperlink ref="M30" r:id="rId12" display="https://deloittedevelopment.udemy.com/labs/create-a-waitlist-app-with-node-express-and-mongo/overview/" xr:uid="{00669819-19E8-4F00-A6C6-5A307F619776}"/>
    <hyperlink ref="M31" r:id="rId13" xr:uid="{89787A6C-F220-4B98-A83F-02565EBDEC3A}"/>
    <hyperlink ref="M25" r:id="rId14" xr:uid="{94957748-B585-4EC1-AA60-175FD9CE5AC6}"/>
    <hyperlink ref="M12" r:id="rId15" xr:uid="{13FAF3AA-2A0A-4779-9D4A-642F3E546A8C}"/>
    <hyperlink ref="M18" r:id="rId16" xr:uid="{CCC957ED-18A8-46E6-8850-1A705136BB96}"/>
    <hyperlink ref="M21" r:id="rId17" xr:uid="{3B30E690-B2F6-4FDD-93E8-DDDC35EA3C31}"/>
    <hyperlink ref="M24" r:id="rId18" xr:uid="{7203FD61-8161-4A1C-8123-133ABCCB92C8}"/>
  </hyperlinks>
  <pageMargins left="0.7" right="0.7" top="0.75" bottom="0.75" header="0.3" footer="0.3"/>
  <pageSetup orientation="portrait" r:id="rId19"/>
  <drawing r:id="rId20"/>
  <tableParts count="1">
    <tablePart r:id="rId2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2FC672-5899-4468-8096-033694B364E4}">
  <sheetPr codeName="Sheet10"/>
  <dimension ref="A1:AU30"/>
  <sheetViews>
    <sheetView showGridLines="0" workbookViewId="0">
      <selection activeCell="E17" sqref="E17"/>
    </sheetView>
  </sheetViews>
  <sheetFormatPr defaultColWidth="20.7265625" defaultRowHeight="15" customHeight="1"/>
  <cols>
    <col min="1" max="1" width="7.453125" customWidth="1"/>
    <col min="2" max="2" width="47" bestFit="1" customWidth="1"/>
    <col min="3" max="12" width="10.7265625" customWidth="1"/>
    <col min="28" max="28" width="24.81640625" customWidth="1"/>
    <col min="34" max="34" width="28.54296875" customWidth="1"/>
  </cols>
  <sheetData>
    <row r="1" spans="1:47" s="170" customFormat="1" ht="14.5"/>
    <row r="2" spans="1:47" s="170" customFormat="1" ht="14.5"/>
    <row r="3" spans="1:47" s="170" customFormat="1" ht="14.5"/>
    <row r="4" spans="1:47" ht="14.5">
      <c r="I4" s="129"/>
      <c r="J4" s="129"/>
      <c r="M4" s="247" t="s">
        <v>470</v>
      </c>
      <c r="N4" s="247"/>
      <c r="O4" s="247"/>
      <c r="P4" s="247"/>
      <c r="Q4" s="247"/>
      <c r="R4" s="247"/>
      <c r="S4" s="247"/>
      <c r="T4" s="247"/>
      <c r="U4" s="247"/>
      <c r="V4" s="247"/>
      <c r="W4" s="247"/>
      <c r="X4" s="247"/>
      <c r="Y4" s="247"/>
      <c r="Z4" s="247"/>
      <c r="AA4" s="178" t="s">
        <v>471</v>
      </c>
    </row>
    <row r="5" spans="1:47" s="17" customFormat="1" ht="15" customHeight="1">
      <c r="D5"/>
      <c r="E5"/>
      <c r="F5"/>
      <c r="J5" s="250" t="s">
        <v>472</v>
      </c>
      <c r="K5" s="250"/>
      <c r="M5" s="73" t="str" cm="1">
        <f t="array" ref="M5:AU5">IF(TRANSPOSE(Content!K10:K44)="","",TRANSPOSE(Content!K10:K44))</f>
        <v>Patterns</v>
      </c>
      <c r="N5" s="73" t="str">
        <v>React</v>
      </c>
      <c r="O5" s="73" t="str">
        <v>Patterns/React</v>
      </c>
      <c r="P5" s="73" t="str">
        <v>React - Testing - Jest</v>
      </c>
      <c r="Q5" s="73" t="str">
        <v>Exercise 1</v>
      </c>
      <c r="R5" s="73" t="str">
        <v>Exercise 2</v>
      </c>
      <c r="S5" s="73" t="str">
        <v>React Labs 1</v>
      </c>
      <c r="T5" s="73" t="str">
        <v>React Labs 2</v>
      </c>
      <c r="U5" s="73" t="str">
        <v>Interview questions</v>
      </c>
      <c r="V5" s="73" t="str">
        <v>React Labs 3</v>
      </c>
      <c r="W5" s="73" t="str">
        <v>React Labs 4</v>
      </c>
      <c r="X5" s="73" t="str">
        <v>Interview questions</v>
      </c>
      <c r="Y5" s="73" t="str">
        <v>React Labs 5</v>
      </c>
      <c r="Z5" s="73" t="str">
        <v>React Labs 6</v>
      </c>
      <c r="AA5" s="73" t="str">
        <v>Interview questions</v>
      </c>
      <c r="AB5" s="73" t="str">
        <v>Projecto final (ejercicio React )</v>
      </c>
      <c r="AC5" s="73" t="str">
        <v>Node</v>
      </c>
      <c r="AD5" s="193" t="str">
        <v>Node - Testing</v>
      </c>
      <c r="AE5" s="73" t="str">
        <v>Exercise 1</v>
      </c>
      <c r="AF5" s="73" t="str">
        <v>Exercise 2</v>
      </c>
      <c r="AG5" s="73" t="str">
        <v>Node Labs</v>
      </c>
      <c r="AH5" s="73" t="str">
        <v>Projecto final (ejercicio Node )</v>
      </c>
      <c r="AI5" s="73" t="str">
        <v/>
      </c>
      <c r="AJ5" s="73" t="str">
        <v/>
      </c>
      <c r="AK5" s="17" t="str">
        <v/>
      </c>
      <c r="AL5" s="17" t="str">
        <v/>
      </c>
      <c r="AM5" s="17" t="str">
        <v/>
      </c>
      <c r="AN5" s="17" t="str">
        <v/>
      </c>
      <c r="AO5" s="17" t="str">
        <v/>
      </c>
      <c r="AP5" s="17" t="str">
        <v/>
      </c>
      <c r="AQ5" s="17" t="str">
        <v/>
      </c>
      <c r="AR5" s="17" t="str">
        <v/>
      </c>
      <c r="AS5" s="17" t="str">
        <v/>
      </c>
      <c r="AT5" s="17" t="str">
        <v/>
      </c>
      <c r="AU5" s="17" t="str">
        <v/>
      </c>
    </row>
    <row r="6" spans="1:47" ht="14.5">
      <c r="J6" s="251" t="s">
        <v>473</v>
      </c>
      <c r="K6" s="251"/>
      <c r="M6" s="104" cm="1">
        <f t="array" ref="M6:AU6">IF(TRANSPOSE(Content!O10:O44)="","",TRANSPOSE(Content!O10:O44))</f>
        <v>16</v>
      </c>
      <c r="N6" s="104">
        <v>88</v>
      </c>
      <c r="O6" s="104">
        <v>6</v>
      </c>
      <c r="P6" s="104">
        <v>16</v>
      </c>
      <c r="Q6" s="104">
        <v>32</v>
      </c>
      <c r="R6" s="104">
        <v>18</v>
      </c>
      <c r="S6" s="104">
        <v>4</v>
      </c>
      <c r="T6" s="104">
        <v>4</v>
      </c>
      <c r="U6" s="104">
        <v>1</v>
      </c>
      <c r="V6" s="104">
        <v>4</v>
      </c>
      <c r="W6" s="104">
        <v>3</v>
      </c>
      <c r="X6" s="104">
        <v>4</v>
      </c>
      <c r="Y6" s="104">
        <v>4</v>
      </c>
      <c r="Z6" s="104">
        <v>4</v>
      </c>
      <c r="AA6" s="104">
        <v>4</v>
      </c>
      <c r="AB6" s="104">
        <v>60</v>
      </c>
      <c r="AC6" s="66">
        <v>80</v>
      </c>
      <c r="AD6" s="194">
        <v>8</v>
      </c>
      <c r="AE6" s="66">
        <v>32</v>
      </c>
      <c r="AF6" s="66">
        <v>18</v>
      </c>
      <c r="AG6" s="66">
        <v>4</v>
      </c>
      <c r="AH6" s="66">
        <v>48</v>
      </c>
      <c r="AI6" s="66" t="str">
        <v/>
      </c>
      <c r="AJ6" s="66" t="str">
        <v/>
      </c>
      <c r="AK6" t="str">
        <v/>
      </c>
      <c r="AL6" t="str">
        <v/>
      </c>
      <c r="AM6" t="str">
        <v/>
      </c>
      <c r="AN6" t="str">
        <v/>
      </c>
      <c r="AO6" t="str">
        <v/>
      </c>
      <c r="AP6" t="str">
        <v/>
      </c>
      <c r="AQ6" t="str">
        <v/>
      </c>
      <c r="AR6" t="str">
        <v/>
      </c>
      <c r="AS6" t="str">
        <v/>
      </c>
      <c r="AT6" t="str">
        <v/>
      </c>
      <c r="AU6" t="str">
        <v/>
      </c>
    </row>
    <row r="7" spans="1:47" ht="14.5">
      <c r="D7" s="248" t="s">
        <v>474</v>
      </c>
      <c r="E7" s="248" t="s">
        <v>475</v>
      </c>
      <c r="F7" s="248" t="s">
        <v>476</v>
      </c>
      <c r="G7" s="248" t="s">
        <v>477</v>
      </c>
      <c r="H7" s="179"/>
      <c r="I7" s="179" t="s">
        <v>80</v>
      </c>
      <c r="J7" s="252" t="s">
        <v>478</v>
      </c>
      <c r="K7" s="252"/>
      <c r="M7" s="104">
        <f>M6/8</f>
        <v>2</v>
      </c>
      <c r="N7" s="104">
        <f t="shared" ref="N7:AJ7" si="0">N6/8</f>
        <v>11</v>
      </c>
      <c r="O7" s="104">
        <f t="shared" si="0"/>
        <v>0.75</v>
      </c>
      <c r="P7" s="104">
        <f t="shared" si="0"/>
        <v>2</v>
      </c>
      <c r="Q7" s="104">
        <f t="shared" si="0"/>
        <v>4</v>
      </c>
      <c r="R7" s="104">
        <f t="shared" si="0"/>
        <v>2.25</v>
      </c>
      <c r="S7" s="104">
        <f t="shared" si="0"/>
        <v>0.5</v>
      </c>
      <c r="T7" s="104">
        <f t="shared" si="0"/>
        <v>0.5</v>
      </c>
      <c r="U7" s="104">
        <f t="shared" si="0"/>
        <v>0.125</v>
      </c>
      <c r="V7" s="104">
        <f t="shared" si="0"/>
        <v>0.5</v>
      </c>
      <c r="W7" s="104">
        <f t="shared" si="0"/>
        <v>0.375</v>
      </c>
      <c r="X7" s="104">
        <f t="shared" si="0"/>
        <v>0.5</v>
      </c>
      <c r="Y7" s="104">
        <f t="shared" si="0"/>
        <v>0.5</v>
      </c>
      <c r="Z7" s="104">
        <f t="shared" si="0"/>
        <v>0.5</v>
      </c>
      <c r="AA7" s="104">
        <f t="shared" si="0"/>
        <v>0.5</v>
      </c>
      <c r="AB7" s="104">
        <f t="shared" si="0"/>
        <v>7.5</v>
      </c>
      <c r="AC7" s="104">
        <f t="shared" si="0"/>
        <v>10</v>
      </c>
      <c r="AD7" s="195">
        <f t="shared" si="0"/>
        <v>1</v>
      </c>
      <c r="AE7" s="104">
        <f t="shared" si="0"/>
        <v>4</v>
      </c>
      <c r="AF7" s="104">
        <f t="shared" si="0"/>
        <v>2.25</v>
      </c>
      <c r="AG7" s="104">
        <f t="shared" si="0"/>
        <v>0.5</v>
      </c>
      <c r="AH7" s="104">
        <f t="shared" si="0"/>
        <v>6</v>
      </c>
      <c r="AI7" s="104" t="e">
        <f t="shared" si="0"/>
        <v>#VALUE!</v>
      </c>
      <c r="AJ7" s="104" t="e">
        <f t="shared" si="0"/>
        <v>#VALUE!</v>
      </c>
    </row>
    <row r="8" spans="1:47" ht="14.5">
      <c r="D8" s="248"/>
      <c r="E8" s="248"/>
      <c r="F8" s="248"/>
      <c r="G8" s="248"/>
      <c r="H8" s="248" t="s">
        <v>479</v>
      </c>
      <c r="I8" s="248" t="s">
        <v>25</v>
      </c>
      <c r="J8" s="130"/>
      <c r="K8" s="130"/>
      <c r="L8" s="130"/>
      <c r="M8" s="104"/>
      <c r="N8" s="104"/>
      <c r="O8" s="104"/>
      <c r="P8" s="104"/>
      <c r="Q8" s="104"/>
      <c r="R8" s="104"/>
      <c r="S8" s="104"/>
      <c r="T8" s="104"/>
      <c r="U8" s="104"/>
      <c r="V8" s="104"/>
      <c r="W8" s="104"/>
      <c r="X8" s="104"/>
      <c r="Y8" s="104"/>
      <c r="Z8" s="104"/>
      <c r="AA8" s="104"/>
      <c r="AB8" s="104"/>
      <c r="AC8" s="66"/>
      <c r="AD8" s="194"/>
      <c r="AE8" s="66"/>
      <c r="AF8" s="66"/>
      <c r="AG8" s="66"/>
      <c r="AH8" s="66"/>
      <c r="AI8" s="66"/>
      <c r="AJ8" s="66"/>
    </row>
    <row r="9" spans="1:47" ht="14.5">
      <c r="D9" s="248"/>
      <c r="E9" s="248"/>
      <c r="F9" s="248"/>
      <c r="G9" s="248"/>
      <c r="H9" s="248"/>
      <c r="I9" s="248"/>
      <c r="J9" s="130"/>
      <c r="K9" s="130"/>
      <c r="L9" s="130"/>
    </row>
    <row r="10" spans="1:47" ht="48">
      <c r="C10" s="180" t="s">
        <v>45</v>
      </c>
      <c r="D10" s="249"/>
      <c r="E10" s="249"/>
      <c r="F10" s="249"/>
      <c r="G10" s="249"/>
      <c r="H10" s="249"/>
      <c r="I10" s="248"/>
      <c r="J10" s="131" t="s">
        <v>480</v>
      </c>
      <c r="K10" s="130" t="s">
        <v>481</v>
      </c>
      <c r="L10" s="130" t="s">
        <v>48</v>
      </c>
    </row>
    <row r="11" spans="1:47" ht="15" customHeight="1">
      <c r="B11" s="192"/>
      <c r="C11" s="7"/>
      <c r="D11" s="20"/>
      <c r="E11" s="20"/>
      <c r="F11" s="20">
        <f>WORKDAY.INTL(E11,$I11,1,holidays!A:A)</f>
        <v>0</v>
      </c>
      <c r="G11" s="19" cm="1">
        <f t="array" ref="G11">SUM(IF((M11:AB11="f"),LEN(M11:AB11),0))</f>
        <v>0</v>
      </c>
      <c r="H11" s="132" cm="1">
        <f t="array" ref="H11">SUM(LEN(M11:AB11))</f>
        <v>0</v>
      </c>
      <c r="I11" s="73" cm="1">
        <f t="array" ref="I11">SUM(IF((M11:AB11="x")+(M11:AB11="f"),$M$7:$AB$7,0))</f>
        <v>0</v>
      </c>
      <c r="J11" s="133">
        <f>IF(G11=0,0,(G11/H11))</f>
        <v>0</v>
      </c>
      <c r="K11" s="134" t="str" cm="1">
        <f t="array" ref="K11">IF(E11="","",INDEX(M$5:Z$5,MATCH(TRUE,INDEX((M11:Z11="x"),),0)))</f>
        <v/>
      </c>
      <c r="L11" s="20" t="str" cm="1">
        <f t="array" ref="L11">IF(E11="","",WORKDAY.INTL(E11,SUM(IF((M11:AB11="f"),$M$7:$AB$7,0))+INDEX($M$7:$AB$7,MATCH(TRUE,INDEX((M11:AB11="x"),),0)),1,holidays!$A$4:$A$1503))</f>
        <v/>
      </c>
      <c r="M11" s="135"/>
      <c r="N11" s="135"/>
      <c r="O11" s="135"/>
      <c r="P11" s="135"/>
      <c r="Q11" s="135"/>
      <c r="R11" s="135"/>
      <c r="S11" s="135"/>
      <c r="T11" s="135"/>
      <c r="U11" s="135"/>
      <c r="V11" s="135"/>
      <c r="W11" s="135"/>
      <c r="X11" s="135"/>
      <c r="Y11" s="135"/>
      <c r="Z11" s="135"/>
      <c r="AA11" s="135"/>
      <c r="AB11" s="7"/>
    </row>
    <row r="12" spans="1:47" ht="15" customHeight="1">
      <c r="A12" t="s">
        <v>8</v>
      </c>
      <c r="B12" s="66" t="s">
        <v>482</v>
      </c>
      <c r="C12" s="31" t="s">
        <v>483</v>
      </c>
      <c r="D12" s="136"/>
      <c r="E12" s="136">
        <v>45134</v>
      </c>
      <c r="F12" s="20">
        <f>WORKDAY.INTL(E12,$I12,1,holidays!A:A)</f>
        <v>45181</v>
      </c>
      <c r="G12" s="19" cm="1">
        <f t="array" ref="G12">SUM(IF((M12:AB12="f"),LEN(M12:AB12),0))</f>
        <v>0</v>
      </c>
      <c r="H12" s="132" cm="1">
        <f t="array" ref="H12">SUM(LEN(M12:AB12))</f>
        <v>16</v>
      </c>
      <c r="I12" s="73" cm="1">
        <f t="array" ref="I12">SUM(IF((M12:AB12="x")+(M12:AB12="f"),$M$7:$AB$7,0))</f>
        <v>33.5</v>
      </c>
      <c r="J12" s="133">
        <f t="shared" ref="J12:J18" si="1">IF(G12=0,0,(G12/H12))</f>
        <v>0</v>
      </c>
      <c r="K12" s="134" t="str" cm="1">
        <f t="array" ref="K12">IF(E12="","",INDEX(M$5:Z$5,MATCH(TRUE,INDEX((M12:Z12="x"),),0)))</f>
        <v>Patterns</v>
      </c>
      <c r="L12" s="20" cm="1">
        <f t="array" ref="L12">IF(E12="","",WORKDAY.INTL(E12,SUM(IF((M12:AB12="f"),$M$7:$AB$7,0))+INDEX($M$7:$AB$7,MATCH(TRUE,INDEX((M12:AB12="x"),),0)),1,holidays!$A$4:$A$1503))</f>
        <v>45138</v>
      </c>
      <c r="M12" s="6" t="s">
        <v>41</v>
      </c>
      <c r="N12" s="6" t="s">
        <v>41</v>
      </c>
      <c r="O12" s="6" t="s">
        <v>41</v>
      </c>
      <c r="P12" s="6" t="s">
        <v>41</v>
      </c>
      <c r="Q12" s="6" t="s">
        <v>41</v>
      </c>
      <c r="R12" s="6" t="s">
        <v>41</v>
      </c>
      <c r="S12" s="6" t="s">
        <v>41</v>
      </c>
      <c r="T12" s="6" t="s">
        <v>41</v>
      </c>
      <c r="U12" s="6" t="s">
        <v>41</v>
      </c>
      <c r="V12" s="6" t="s">
        <v>41</v>
      </c>
      <c r="W12" s="6" t="s">
        <v>41</v>
      </c>
      <c r="X12" s="6" t="s">
        <v>41</v>
      </c>
      <c r="Y12" s="6" t="s">
        <v>41</v>
      </c>
      <c r="Z12" s="6" t="s">
        <v>41</v>
      </c>
      <c r="AA12" s="6" t="s">
        <v>41</v>
      </c>
      <c r="AB12" s="6" t="s">
        <v>41</v>
      </c>
    </row>
    <row r="13" spans="1:47" ht="14.5">
      <c r="B13" s="66" t="s">
        <v>484</v>
      </c>
      <c r="C13" s="31" t="s">
        <v>483</v>
      </c>
      <c r="D13" s="136"/>
      <c r="E13" s="136">
        <v>45145</v>
      </c>
      <c r="F13" s="20">
        <f>WORKDAY.INTL(E13,$I13,1,holidays!A:A)</f>
        <v>45187</v>
      </c>
      <c r="G13" s="19" cm="1">
        <f t="array" ref="G13">SUM(IF((M13:AB13="f"),LEN(M13:AB13),0))</f>
        <v>0</v>
      </c>
      <c r="H13" s="132" cm="1">
        <f t="array" ref="H13">SUM(LEN(M13:AB13))</f>
        <v>9</v>
      </c>
      <c r="I13" s="73" cm="1">
        <f t="array" ref="I13">SUM(IF((M13:AB13="x")+(M13:AB13="f"),$M$7:$AB$7,0))</f>
        <v>29.875</v>
      </c>
      <c r="J13" s="133">
        <f t="shared" ref="J13:J14" si="2">IF(G13=0,0,(G13/H13))</f>
        <v>0</v>
      </c>
      <c r="K13" s="134" t="str" cm="1">
        <f t="array" ref="K13">IF(E13="","",INDEX(M$5:Z$5,MATCH(TRUE,INDEX((M13:Z13="x"),),0)))</f>
        <v>Patterns</v>
      </c>
      <c r="L13" s="20" cm="1">
        <f t="array" ref="L13">IF(E13="","",WORKDAY.INTL(E13,SUM(IF((M13:AB13="f"),$M$7:$AB$7,0))+INDEX($M$7:$AB$7,MATCH(TRUE,INDEX((M13:AB13="x"),),0)),1,holidays!$A$4:$A$1503))</f>
        <v>45147</v>
      </c>
      <c r="M13" s="6" t="s">
        <v>41</v>
      </c>
      <c r="N13" s="6" t="s">
        <v>41</v>
      </c>
      <c r="O13" s="6"/>
      <c r="P13" s="6" t="s">
        <v>41</v>
      </c>
      <c r="Q13" s="6" t="s">
        <v>41</v>
      </c>
      <c r="R13" s="6" t="s">
        <v>41</v>
      </c>
      <c r="S13" s="6" t="s">
        <v>41</v>
      </c>
      <c r="T13" s="6" t="s">
        <v>41</v>
      </c>
      <c r="U13" s="6" t="s">
        <v>41</v>
      </c>
      <c r="V13" s="6"/>
      <c r="W13" s="6"/>
      <c r="X13" s="6"/>
      <c r="Y13" s="6"/>
      <c r="Z13" s="6"/>
      <c r="AA13" s="6"/>
      <c r="AB13" s="6" t="s">
        <v>41</v>
      </c>
    </row>
    <row r="14" spans="1:47" ht="14.5">
      <c r="B14" s="66" t="s">
        <v>485</v>
      </c>
      <c r="C14" s="31" t="s">
        <v>483</v>
      </c>
      <c r="D14" s="20"/>
      <c r="E14" s="136">
        <v>45145</v>
      </c>
      <c r="F14" s="20">
        <f>WORKDAY.INTL(E14,$I14,1,holidays!A:A)</f>
        <v>45187</v>
      </c>
      <c r="G14" s="19" cm="1">
        <f t="array" ref="G14">SUM(IF((M14:AB14="f"),LEN(M14:AB14),0))</f>
        <v>0</v>
      </c>
      <c r="H14" s="132" cm="1">
        <f t="array" ref="H14">SUM(LEN(M14:AB14))</f>
        <v>9</v>
      </c>
      <c r="I14" s="73" cm="1">
        <f t="array" ref="I14">SUM(IF((M14:AB14="x")+(M14:AB14="f"),$M$7:$AB$7,0))</f>
        <v>29.875</v>
      </c>
      <c r="J14" s="133">
        <f t="shared" si="2"/>
        <v>0</v>
      </c>
      <c r="K14" s="134" t="str" cm="1">
        <f t="array" ref="K14">IF(E14="","",INDEX(M$5:Z$5,MATCH(TRUE,INDEX((M14:Z14="x"),),0)))</f>
        <v>Patterns</v>
      </c>
      <c r="L14" s="20" cm="1">
        <f t="array" ref="L14">IF(E14="","",WORKDAY.INTL(E14,SUM(IF((M14:AB14="f"),$M$7:$AB$7,0))+INDEX($M$7:$AB$7,MATCH(TRUE,INDEX((M14:AB14="x"),),0)),1,holidays!$A$4:$A$1503))</f>
        <v>45147</v>
      </c>
      <c r="M14" s="6" t="s">
        <v>41</v>
      </c>
      <c r="N14" s="6" t="s">
        <v>41</v>
      </c>
      <c r="O14" s="6"/>
      <c r="P14" s="6" t="s">
        <v>41</v>
      </c>
      <c r="Q14" s="6" t="s">
        <v>41</v>
      </c>
      <c r="R14" s="6" t="s">
        <v>41</v>
      </c>
      <c r="S14" s="6" t="s">
        <v>41</v>
      </c>
      <c r="T14" s="6" t="s">
        <v>41</v>
      </c>
      <c r="U14" s="6" t="s">
        <v>41</v>
      </c>
      <c r="V14" s="6"/>
      <c r="W14" s="6"/>
      <c r="X14" s="6"/>
      <c r="Y14" s="6"/>
      <c r="Z14" s="6"/>
      <c r="AA14" s="6"/>
      <c r="AB14" s="6" t="s">
        <v>41</v>
      </c>
    </row>
    <row r="15" spans="1:47" ht="14.5">
      <c r="B15" s="66" t="s">
        <v>486</v>
      </c>
      <c r="C15" s="31" t="s">
        <v>483</v>
      </c>
      <c r="D15" s="20"/>
      <c r="E15" s="20">
        <v>45153</v>
      </c>
      <c r="F15" s="20">
        <f>WORKDAY.INTL(E15,$I15,1,holidays!A:A)</f>
        <v>45201</v>
      </c>
      <c r="G15" s="19" cm="1">
        <f t="array" ref="G15">SUM(IF((M15:AB15="f"),LEN(M15:AB15),0))</f>
        <v>0</v>
      </c>
      <c r="H15" s="132" cm="1">
        <f t="array" ref="H15">SUM(LEN(M15:AB15))</f>
        <v>16</v>
      </c>
      <c r="I15" s="73" cm="1">
        <f t="array" ref="I15">SUM(IF((M15:AB15="x")+(M15:AB15="f"),$M$7:$AB$7,0))</f>
        <v>33.5</v>
      </c>
      <c r="J15" s="133">
        <f t="shared" si="1"/>
        <v>0</v>
      </c>
      <c r="K15" s="134" t="str" cm="1">
        <f t="array" ref="K15">IF(E15="","",INDEX(M$5:Z$5,MATCH(TRUE,INDEX((M15:Z15="x"),),0)))</f>
        <v>Patterns</v>
      </c>
      <c r="L15" s="20" cm="1">
        <f t="array" ref="L15">IF(E15="","",WORKDAY.INTL(E15,SUM(IF((M15:AB15="f"),$M$7:$AB$7,0))+INDEX($M$7:$AB$7,MATCH(TRUE,INDEX((M15:AB15="x"),),0)),1,holidays!$A$4:$A$1503))</f>
        <v>45155</v>
      </c>
      <c r="M15" s="6" t="s">
        <v>41</v>
      </c>
      <c r="N15" s="6" t="s">
        <v>41</v>
      </c>
      <c r="O15" s="6" t="s">
        <v>41</v>
      </c>
      <c r="P15" s="6" t="s">
        <v>41</v>
      </c>
      <c r="Q15" s="6" t="s">
        <v>41</v>
      </c>
      <c r="R15" s="6" t="s">
        <v>41</v>
      </c>
      <c r="S15" s="6" t="s">
        <v>41</v>
      </c>
      <c r="T15" s="6" t="s">
        <v>41</v>
      </c>
      <c r="U15" s="6" t="s">
        <v>41</v>
      </c>
      <c r="V15" s="6" t="s">
        <v>41</v>
      </c>
      <c r="W15" s="6" t="s">
        <v>41</v>
      </c>
      <c r="X15" s="6" t="s">
        <v>41</v>
      </c>
      <c r="Y15" s="6" t="s">
        <v>41</v>
      </c>
      <c r="Z15" s="6" t="s">
        <v>41</v>
      </c>
      <c r="AA15" s="6" t="s">
        <v>41</v>
      </c>
      <c r="AB15" s="6" t="s">
        <v>41</v>
      </c>
    </row>
    <row r="16" spans="1:47" ht="18.5">
      <c r="A16" t="s">
        <v>487</v>
      </c>
      <c r="B16" s="191" t="s">
        <v>488</v>
      </c>
      <c r="C16" s="31" t="s">
        <v>483</v>
      </c>
      <c r="D16" s="137"/>
      <c r="E16" s="20">
        <v>45203</v>
      </c>
      <c r="F16" s="20">
        <f>WORKDAY.INTL(E16,$I16,1,holidays!A:A)</f>
        <v>45245</v>
      </c>
      <c r="G16" s="19" cm="1">
        <f t="array" ref="G16">SUM(IF((M16:AB16="f"),LEN(M16:AB16),0))</f>
        <v>0</v>
      </c>
      <c r="H16" s="132" cm="1">
        <f t="array" ref="H16">SUM(LEN(M16:AB16))</f>
        <v>9</v>
      </c>
      <c r="I16" s="73" cm="1">
        <f t="array" ref="I16">SUM(IF((M16:AB16="x")+(M16:AB16="f"),$M$7:$AB$7,0))</f>
        <v>29.875</v>
      </c>
      <c r="J16" s="133">
        <f t="shared" si="1"/>
        <v>0</v>
      </c>
      <c r="K16" s="134" t="str" cm="1">
        <f t="array" ref="K16">IF(E16="","",INDEX(M$5:Z$5,MATCH(TRUE,INDEX((M16:Z16="x"),),0)))</f>
        <v>Patterns</v>
      </c>
      <c r="L16" s="20" cm="1">
        <f t="array" ref="L16">IF(E16="","",WORKDAY.INTL(E16,SUM(IF((M16:AB16="f"),$M$7:$AB$7,0))+INDEX($M$7:$AB$7,MATCH(TRUE,INDEX((M16:AB16="x"),),0)),1,holidays!$A$4:$A$1503))</f>
        <v>45208</v>
      </c>
      <c r="M16" s="6" t="s">
        <v>41</v>
      </c>
      <c r="N16" s="6" t="s">
        <v>41</v>
      </c>
      <c r="O16" s="6"/>
      <c r="P16" s="6" t="s">
        <v>41</v>
      </c>
      <c r="Q16" s="6" t="s">
        <v>41</v>
      </c>
      <c r="R16" s="6" t="s">
        <v>41</v>
      </c>
      <c r="S16" s="6" t="s">
        <v>41</v>
      </c>
      <c r="T16" s="6" t="s">
        <v>41</v>
      </c>
      <c r="U16" s="6" t="s">
        <v>41</v>
      </c>
      <c r="V16" s="6"/>
      <c r="W16" s="6"/>
      <c r="X16" s="6"/>
      <c r="Y16" s="6"/>
      <c r="Z16" s="6"/>
      <c r="AA16" s="6"/>
      <c r="AB16" s="6" t="s">
        <v>41</v>
      </c>
    </row>
    <row r="17" spans="1:28" ht="18.5">
      <c r="A17" t="s">
        <v>8</v>
      </c>
      <c r="B17" s="191" t="s">
        <v>489</v>
      </c>
      <c r="C17" s="31" t="s">
        <v>483</v>
      </c>
      <c r="D17" s="137"/>
      <c r="E17" s="20">
        <v>45257</v>
      </c>
      <c r="F17" s="20">
        <f>WORKDAY.INTL(E17,$I17,1,holidays!A:A)</f>
        <v>45306</v>
      </c>
      <c r="G17" s="19" cm="1">
        <f t="array" ref="G17">SUM(IF((M17:AB17="f"),LEN(M17:AB17),0))</f>
        <v>0</v>
      </c>
      <c r="H17" s="132" cm="1">
        <f t="array" ref="H17">SUM(LEN(M17:AB17))</f>
        <v>9</v>
      </c>
      <c r="I17" s="73" cm="1">
        <f t="array" ref="I17">SUM(IF((M17:AB17="x")+(M17:AB17="f"),$M$7:$AB$7,0))</f>
        <v>29.875</v>
      </c>
      <c r="J17" s="133">
        <f t="shared" ref="J17" si="3">IF(G17=0,0,(G17/H17))</f>
        <v>0</v>
      </c>
      <c r="K17" s="134" t="str" cm="1">
        <f t="array" ref="K17">IF(E17="","",INDEX(M$5:Z$5,MATCH(TRUE,INDEX((M17:Z17="x"),),0)))</f>
        <v>Patterns</v>
      </c>
      <c r="L17" s="20" cm="1">
        <f t="array" ref="L17">IF(E17="","",WORKDAY.INTL(E17,SUM(IF((M17:AB17="f"),$M$7:$AB$7,0))+INDEX($M$7:$AB$7,MATCH(TRUE,INDEX((M17:AB17="x"),),0)),1,holidays!$A$4:$A$1503))</f>
        <v>45259</v>
      </c>
      <c r="M17" s="6" t="s">
        <v>41</v>
      </c>
      <c r="N17" s="6" t="s">
        <v>41</v>
      </c>
      <c r="O17" s="6"/>
      <c r="P17" s="6" t="s">
        <v>41</v>
      </c>
      <c r="Q17" s="6" t="s">
        <v>41</v>
      </c>
      <c r="R17" s="6" t="s">
        <v>41</v>
      </c>
      <c r="S17" s="6" t="s">
        <v>41</v>
      </c>
      <c r="T17" s="6" t="s">
        <v>41</v>
      </c>
      <c r="U17" s="6" t="s">
        <v>41</v>
      </c>
      <c r="V17" s="6"/>
      <c r="W17" s="6"/>
      <c r="X17" s="6"/>
      <c r="Y17" s="6"/>
      <c r="Z17" s="6"/>
      <c r="AA17" s="6"/>
      <c r="AB17" s="6" t="s">
        <v>41</v>
      </c>
    </row>
    <row r="18" spans="1:28" ht="18.5">
      <c r="B18" s="191"/>
      <c r="C18" s="31"/>
      <c r="D18" s="20"/>
      <c r="E18" s="20"/>
      <c r="F18" s="20">
        <f>WORKDAY.INTL(E18,$I18,1,holidays!A:A)</f>
        <v>0</v>
      </c>
      <c r="G18" s="19" cm="1">
        <f t="array" ref="G18">SUM(IF((M18:AB18="f"),LEN(M18:AB18),0))</f>
        <v>0</v>
      </c>
      <c r="H18" s="132" cm="1">
        <f t="array" ref="H18">SUM(LEN(M18:AB18))</f>
        <v>0</v>
      </c>
      <c r="I18" s="73" cm="1">
        <f t="array" ref="I18">SUM(IF((M18:AB18="x")+(M18:AB18="f"),$M$7:$AB$7,0))</f>
        <v>0</v>
      </c>
      <c r="J18" s="133">
        <f t="shared" si="1"/>
        <v>0</v>
      </c>
      <c r="K18" s="134" t="str" cm="1">
        <f t="array" ref="K18">IF(E18="","",INDEX(M$5:Z$5,MATCH(TRUE,INDEX((M18:Z18="x"),),0)))</f>
        <v/>
      </c>
      <c r="L18" s="20" t="str" cm="1">
        <f t="array" ref="L18">IF(E18="","",WORKDAY.INTL(E18,SUM(IF((M18:AB18="f"),$M$7:$AB$7,0))+INDEX($M$7:$AB$7,MATCH(TRUE,INDEX((M18:AB18="x"),),0)),1,holidays!$A$4:$A$1503))</f>
        <v/>
      </c>
      <c r="M18" s="6"/>
      <c r="N18" s="6"/>
      <c r="O18" s="6"/>
      <c r="P18" s="6"/>
      <c r="Q18" s="6"/>
      <c r="R18" s="6"/>
      <c r="S18" s="6"/>
      <c r="T18" s="6"/>
      <c r="U18" s="6"/>
      <c r="V18" s="6"/>
      <c r="W18" s="6"/>
      <c r="X18" s="6"/>
      <c r="Y18" s="7"/>
      <c r="Z18" s="7"/>
      <c r="AA18" s="7"/>
      <c r="AB18" s="7"/>
    </row>
    <row r="21" spans="1:28" ht="14.5">
      <c r="I21" s="181"/>
      <c r="O21" s="182"/>
      <c r="P21" s="182"/>
      <c r="Q21" s="182"/>
      <c r="R21" s="182"/>
    </row>
    <row r="22" spans="1:28" ht="17.5">
      <c r="O22" s="182"/>
      <c r="P22" s="183"/>
      <c r="Q22" s="182"/>
    </row>
    <row r="24" spans="1:28" ht="14.5">
      <c r="P24" s="184"/>
    </row>
    <row r="25" spans="1:28" ht="14.5">
      <c r="O25" s="182"/>
    </row>
    <row r="27" spans="1:28" ht="14.5">
      <c r="L27" s="185"/>
      <c r="Z27">
        <f>268/8</f>
        <v>33.5</v>
      </c>
    </row>
    <row r="29" spans="1:28" ht="14.5">
      <c r="J29" s="182"/>
      <c r="K29" s="182"/>
    </row>
    <row r="30" spans="1:28" ht="14.5">
      <c r="K30" s="182"/>
    </row>
  </sheetData>
  <mergeCells count="10">
    <mergeCell ref="M4:Z4"/>
    <mergeCell ref="D7:D10"/>
    <mergeCell ref="E7:E10"/>
    <mergeCell ref="F7:F10"/>
    <mergeCell ref="G7:G10"/>
    <mergeCell ref="H8:H10"/>
    <mergeCell ref="I8:I10"/>
    <mergeCell ref="J5:K5"/>
    <mergeCell ref="J6:K6"/>
    <mergeCell ref="J7:K7"/>
  </mergeCells>
  <conditionalFormatting sqref="B11:B14 B16:B18">
    <cfRule type="expression" dxfId="2" priority="7">
      <formula>ROW()=CELL("Row")</formula>
    </cfRule>
  </conditionalFormatting>
  <conditionalFormatting sqref="M5:AJ5">
    <cfRule type="expression" dxfId="1" priority="6">
      <formula>ROW()=CELL("Row")</formula>
    </cfRule>
  </conditionalFormatting>
  <conditionalFormatting sqref="B12:B15">
    <cfRule type="expression" dxfId="0" priority="1">
      <formula>ROW()=CELL("Row")</formula>
    </cfRule>
  </conditionalFormatting>
  <pageMargins left="0.7" right="0.7" top="0.75" bottom="0.75" header="0.3" footer="0.3"/>
  <drawing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3AE6F-48A2-4B4D-98DB-AAEB35724385}">
  <sheetPr codeName="Sheet5"/>
  <dimension ref="A1:A33"/>
  <sheetViews>
    <sheetView showGridLines="0" workbookViewId="0">
      <selection activeCell="B33" sqref="A4:B33"/>
    </sheetView>
  </sheetViews>
  <sheetFormatPr defaultRowHeight="14.5"/>
  <cols>
    <col min="1" max="1" width="13.453125" style="54" customWidth="1"/>
  </cols>
  <sheetData>
    <row r="1" spans="1:1" s="170" customFormat="1"/>
    <row r="2" spans="1:1" s="170" customFormat="1"/>
    <row r="3" spans="1:1" s="170" customFormat="1"/>
    <row r="4" spans="1:1">
      <c r="A4" s="122">
        <v>44907</v>
      </c>
    </row>
    <row r="5" spans="1:1">
      <c r="A5" s="123" t="s">
        <v>490</v>
      </c>
    </row>
    <row r="6" spans="1:1">
      <c r="A6" s="123" t="s">
        <v>491</v>
      </c>
    </row>
    <row r="7" spans="1:1">
      <c r="A7" s="123" t="s">
        <v>492</v>
      </c>
    </row>
    <row r="8" spans="1:1">
      <c r="A8" s="123" t="s">
        <v>493</v>
      </c>
    </row>
    <row r="9" spans="1:1">
      <c r="A9" s="123" t="s">
        <v>494</v>
      </c>
    </row>
    <row r="10" spans="1:1">
      <c r="A10" s="123" t="s">
        <v>495</v>
      </c>
    </row>
    <row r="11" spans="1:1">
      <c r="A11" s="123" t="s">
        <v>496</v>
      </c>
    </row>
    <row r="12" spans="1:1">
      <c r="A12" s="123" t="s">
        <v>497</v>
      </c>
    </row>
    <row r="13" spans="1:1">
      <c r="A13" s="122">
        <v>44927</v>
      </c>
    </row>
    <row r="14" spans="1:1">
      <c r="A14" s="124">
        <v>45079</v>
      </c>
    </row>
    <row r="15" spans="1:1">
      <c r="A15" s="125" t="s">
        <v>498</v>
      </c>
    </row>
    <row r="16" spans="1:1">
      <c r="A16" s="124">
        <v>45081</v>
      </c>
    </row>
    <row r="17" spans="1:1">
      <c r="A17" s="124">
        <v>45111</v>
      </c>
    </row>
    <row r="18" spans="1:1">
      <c r="A18" s="124">
        <v>44931</v>
      </c>
    </row>
    <row r="19" spans="1:1">
      <c r="A19" s="124">
        <v>45204</v>
      </c>
    </row>
    <row r="20" spans="1:1">
      <c r="A20" s="125" t="s">
        <v>499</v>
      </c>
    </row>
    <row r="21" spans="1:1">
      <c r="A21" s="126" t="s">
        <v>500</v>
      </c>
    </row>
    <row r="22" spans="1:1">
      <c r="A22" s="124">
        <v>44968</v>
      </c>
    </row>
    <row r="23" spans="1:1">
      <c r="A23" s="124">
        <v>44996</v>
      </c>
    </row>
    <row r="24" spans="1:1">
      <c r="A24" s="125" t="s">
        <v>501</v>
      </c>
    </row>
    <row r="25" spans="1:1">
      <c r="A25" s="124">
        <v>45272</v>
      </c>
    </row>
    <row r="26" spans="1:1">
      <c r="A26" s="125" t="s">
        <v>502</v>
      </c>
    </row>
    <row r="27" spans="1:1">
      <c r="A27" s="125" t="s">
        <v>503</v>
      </c>
    </row>
    <row r="28" spans="1:1">
      <c r="A28" s="125" t="s">
        <v>504</v>
      </c>
    </row>
    <row r="29" spans="1:1">
      <c r="A29" s="125" t="s">
        <v>505</v>
      </c>
    </row>
    <row r="30" spans="1:1">
      <c r="A30" s="125" t="s">
        <v>506</v>
      </c>
    </row>
    <row r="31" spans="1:1">
      <c r="A31" s="125" t="s">
        <v>507</v>
      </c>
    </row>
    <row r="32" spans="1:1">
      <c r="A32" s="125" t="s">
        <v>508</v>
      </c>
    </row>
    <row r="33" spans="1:1">
      <c r="A33" s="125" t="s">
        <v>509</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71688-7C86-4392-BDC0-888C8CE77597}">
  <sheetPr codeName="Sheet6"/>
  <dimension ref="A1:F19"/>
  <sheetViews>
    <sheetView showGridLines="0" workbookViewId="0">
      <selection activeCell="K27" sqref="K27"/>
    </sheetView>
  </sheetViews>
  <sheetFormatPr defaultRowHeight="14.5"/>
  <cols>
    <col min="1" max="1" width="27.26953125" customWidth="1"/>
    <col min="2" max="2" width="21.453125" customWidth="1"/>
    <col min="4" max="4" width="18.26953125" customWidth="1"/>
    <col min="5" max="5" width="24" customWidth="1"/>
    <col min="6" max="6" width="12.26953125" customWidth="1"/>
  </cols>
  <sheetData>
    <row r="1" spans="1:6" s="170" customFormat="1"/>
    <row r="2" spans="1:6" s="170" customFormat="1"/>
    <row r="3" spans="1:6" s="170" customFormat="1"/>
    <row r="4" spans="1:6">
      <c r="A4" s="7" t="s">
        <v>510</v>
      </c>
      <c r="B4" s="32" t="s">
        <v>511</v>
      </c>
      <c r="C4" s="32" t="s">
        <v>512</v>
      </c>
      <c r="D4" s="32" t="s">
        <v>513</v>
      </c>
      <c r="E4" s="32" t="s">
        <v>514</v>
      </c>
      <c r="F4" s="32" t="s">
        <v>25</v>
      </c>
    </row>
    <row r="5" spans="1:6">
      <c r="A5" s="42" t="s">
        <v>515</v>
      </c>
      <c r="B5" s="33">
        <v>1.3490842490842494</v>
      </c>
      <c r="C5" s="19">
        <v>1</v>
      </c>
      <c r="D5" s="7" t="s">
        <v>516</v>
      </c>
      <c r="E5" s="7" t="s">
        <v>517</v>
      </c>
      <c r="F5" s="19" t="s">
        <v>518</v>
      </c>
    </row>
    <row r="6" spans="1:6">
      <c r="A6" s="42" t="s">
        <v>519</v>
      </c>
      <c r="B6" s="33">
        <v>2.9234545454545446</v>
      </c>
      <c r="C6" s="19">
        <v>2</v>
      </c>
      <c r="D6" s="7" t="s">
        <v>516</v>
      </c>
      <c r="E6" s="7" t="s">
        <v>517</v>
      </c>
      <c r="F6" s="19" t="s">
        <v>520</v>
      </c>
    </row>
    <row r="7" spans="1:6">
      <c r="A7" s="43" t="s">
        <v>521</v>
      </c>
      <c r="B7" s="34"/>
      <c r="C7" s="19"/>
      <c r="D7" s="7" t="s">
        <v>516</v>
      </c>
      <c r="E7" s="7"/>
      <c r="F7" s="19" t="s">
        <v>522</v>
      </c>
    </row>
    <row r="8" spans="1:6">
      <c r="A8" s="43" t="s">
        <v>523</v>
      </c>
      <c r="B8" s="34"/>
      <c r="C8" s="19"/>
      <c r="D8" s="7" t="s">
        <v>516</v>
      </c>
      <c r="E8" s="7"/>
      <c r="F8" s="19" t="s">
        <v>522</v>
      </c>
    </row>
    <row r="9" spans="1:6">
      <c r="A9" s="43" t="s">
        <v>524</v>
      </c>
      <c r="B9" s="34"/>
      <c r="C9" s="19"/>
      <c r="D9" s="7" t="s">
        <v>516</v>
      </c>
      <c r="E9" s="7"/>
      <c r="F9" s="19" t="s">
        <v>518</v>
      </c>
    </row>
    <row r="10" spans="1:6">
      <c r="A10" s="44" t="s">
        <v>525</v>
      </c>
      <c r="B10" s="35">
        <v>2.3482142857142856</v>
      </c>
      <c r="C10" s="6">
        <v>1</v>
      </c>
      <c r="D10" s="36" t="s">
        <v>526</v>
      </c>
      <c r="E10" s="36" t="s">
        <v>527</v>
      </c>
      <c r="F10" s="6" t="s">
        <v>528</v>
      </c>
    </row>
    <row r="11" spans="1:6">
      <c r="A11" s="45" t="s">
        <v>529</v>
      </c>
      <c r="B11" s="37"/>
      <c r="C11" s="6"/>
      <c r="D11" s="36" t="s">
        <v>530</v>
      </c>
      <c r="E11" s="36" t="s">
        <v>531</v>
      </c>
      <c r="F11" s="6" t="s">
        <v>532</v>
      </c>
    </row>
    <row r="12" spans="1:6">
      <c r="A12" s="46" t="s">
        <v>533</v>
      </c>
      <c r="B12" s="38">
        <v>2.3862815884476536</v>
      </c>
      <c r="C12" s="19">
        <v>1</v>
      </c>
      <c r="D12" s="7" t="s">
        <v>530</v>
      </c>
      <c r="E12" s="7" t="s">
        <v>531</v>
      </c>
      <c r="F12" s="19" t="s">
        <v>528</v>
      </c>
    </row>
    <row r="13" spans="1:6">
      <c r="A13" s="46" t="s">
        <v>534</v>
      </c>
      <c r="B13" s="38">
        <v>2.0528776978417267</v>
      </c>
      <c r="C13" s="19">
        <v>1</v>
      </c>
      <c r="D13" s="7" t="s">
        <v>530</v>
      </c>
      <c r="E13" s="7" t="s">
        <v>531</v>
      </c>
      <c r="F13" s="19" t="s">
        <v>528</v>
      </c>
    </row>
    <row r="14" spans="1:6">
      <c r="A14" s="45" t="s">
        <v>535</v>
      </c>
      <c r="B14" s="39">
        <v>2.3591836734693876</v>
      </c>
      <c r="C14" s="6">
        <v>1</v>
      </c>
      <c r="D14" s="36" t="s">
        <v>530</v>
      </c>
      <c r="E14" s="36" t="s">
        <v>531</v>
      </c>
      <c r="F14" s="6" t="s">
        <v>528</v>
      </c>
    </row>
    <row r="15" spans="1:6">
      <c r="A15" s="46" t="s">
        <v>536</v>
      </c>
      <c r="B15" s="38">
        <v>2.1965277777777779</v>
      </c>
      <c r="C15" s="19">
        <v>2</v>
      </c>
      <c r="D15" s="7" t="s">
        <v>530</v>
      </c>
      <c r="E15" s="7" t="s">
        <v>531</v>
      </c>
      <c r="F15" s="19" t="s">
        <v>528</v>
      </c>
    </row>
    <row r="16" spans="1:6">
      <c r="A16" s="47" t="s">
        <v>537</v>
      </c>
      <c r="B16" s="40">
        <v>2.2570754716981134</v>
      </c>
      <c r="C16" s="19">
        <v>2</v>
      </c>
      <c r="D16" s="7" t="s">
        <v>538</v>
      </c>
      <c r="E16" s="7" t="s">
        <v>539</v>
      </c>
      <c r="F16" s="19" t="s">
        <v>528</v>
      </c>
    </row>
    <row r="17" spans="1:6">
      <c r="A17" s="48" t="s">
        <v>540</v>
      </c>
      <c r="B17" s="41">
        <v>1.0844262295081968</v>
      </c>
      <c r="C17" s="19">
        <v>0.5</v>
      </c>
      <c r="D17" s="7" t="s">
        <v>538</v>
      </c>
      <c r="E17" s="7" t="s">
        <v>541</v>
      </c>
      <c r="F17" s="19" t="s">
        <v>518</v>
      </c>
    </row>
    <row r="18" spans="1:6">
      <c r="A18" s="48" t="s">
        <v>542</v>
      </c>
      <c r="B18" s="41">
        <v>0.91899224806201585</v>
      </c>
      <c r="C18" s="19">
        <v>0.5</v>
      </c>
      <c r="D18" s="7" t="s">
        <v>538</v>
      </c>
      <c r="E18" s="7" t="s">
        <v>541</v>
      </c>
      <c r="F18" s="19" t="s">
        <v>522</v>
      </c>
    </row>
    <row r="19" spans="1:6">
      <c r="A19" s="7" t="s">
        <v>543</v>
      </c>
      <c r="B19" s="7"/>
      <c r="C19" s="7"/>
      <c r="D19" s="7" t="s">
        <v>538</v>
      </c>
      <c r="E19" s="7"/>
      <c r="F19" s="19" t="s">
        <v>518</v>
      </c>
    </row>
  </sheetData>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80AAE01229974C40AB25A25D61B2DD80" ma:contentTypeVersion="5" ma:contentTypeDescription="Create a new document." ma:contentTypeScope="" ma:versionID="b9c6eec9266f65aaa875a7b9c818ed25">
  <xsd:schema xmlns:xsd="http://www.w3.org/2001/XMLSchema" xmlns:xs="http://www.w3.org/2001/XMLSchema" xmlns:p="http://schemas.microsoft.com/office/2006/metadata/properties" xmlns:ns2="e3f18b36-2a69-4a57-b787-c406cfa6560a" xmlns:ns3="3deb29b2-9f08-4609-a7dd-f913f64aeebc" targetNamespace="http://schemas.microsoft.com/office/2006/metadata/properties" ma:root="true" ma:fieldsID="825b16b6b28e3f74937c09d1a145471c" ns2:_="" ns3:_="">
    <xsd:import namespace="e3f18b36-2a69-4a57-b787-c406cfa6560a"/>
    <xsd:import namespace="3deb29b2-9f08-4609-a7dd-f913f64aeebc"/>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f18b36-2a69-4a57-b787-c406cfa6560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deb29b2-9f08-4609-a7dd-f913f64aeebc"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3deb29b2-9f08-4609-a7dd-f913f64aeebc">
      <UserInfo>
        <DisplayName>Pedroza Garcia, Edgar Daniel</DisplayName>
        <AccountId>11</AccountId>
        <AccountType/>
      </UserInfo>
      <UserInfo>
        <DisplayName>Valencia Quevedo, Leonardo Fabian</DisplayName>
        <AccountId>23</AccountId>
        <AccountType/>
      </UserInfo>
      <UserInfo>
        <DisplayName>Chavez Veloz, Gabriela</DisplayName>
        <AccountId>24</AccountId>
        <AccountType/>
      </UserInfo>
      <UserInfo>
        <DisplayName>Cardenas Alva, Gustavo Adolfo</DisplayName>
        <AccountId>28</AccountId>
        <AccountType/>
      </UserInfo>
    </SharedWithUsers>
  </documentManagement>
</p:properties>
</file>

<file path=customXml/itemProps1.xml><?xml version="1.0" encoding="utf-8"?>
<ds:datastoreItem xmlns:ds="http://schemas.openxmlformats.org/officeDocument/2006/customXml" ds:itemID="{8D77483A-A7E2-4277-9B65-8E810E7474A5}">
  <ds:schemaRefs>
    <ds:schemaRef ds:uri="http://schemas.microsoft.com/sharepoint/v3/contenttype/forms"/>
  </ds:schemaRefs>
</ds:datastoreItem>
</file>

<file path=customXml/itemProps2.xml><?xml version="1.0" encoding="utf-8"?>
<ds:datastoreItem xmlns:ds="http://schemas.openxmlformats.org/officeDocument/2006/customXml" ds:itemID="{183DC9C3-C16F-4F79-90B0-A6FE8BF3415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f18b36-2a69-4a57-b787-c406cfa6560a"/>
    <ds:schemaRef ds:uri="3deb29b2-9f08-4609-a7dd-f913f64aeeb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A6BEC8E-D840-4994-A1D4-B07D585065D3}">
  <ds:schemaRefs>
    <ds:schemaRef ds:uri="http://schemas.microsoft.com/office/2006/metadata/properties"/>
    <ds:schemaRef ds:uri="http://schemas.microsoft.com/office/infopath/2007/PartnerControls"/>
    <ds:schemaRef ds:uri="3deb29b2-9f08-4609-a7dd-f913f64aeeb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Information</vt:lpstr>
      <vt:lpstr>Calendar-React</vt:lpstr>
      <vt:lpstr>Calendar</vt:lpstr>
      <vt:lpstr>Calendar-Node</vt:lpstr>
      <vt:lpstr>React</vt:lpstr>
      <vt:lpstr>Node</vt:lpstr>
      <vt:lpstr>Content</vt:lpstr>
      <vt:lpstr>Training</vt:lpstr>
      <vt:lpstr>holidays</vt:lpstr>
      <vt:lpstr>MCD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Chavez Veloz, Gabriela</cp:lastModifiedBy>
  <cp:revision/>
  <dcterms:created xsi:type="dcterms:W3CDTF">2022-12-08T17:12:42Z</dcterms:created>
  <dcterms:modified xsi:type="dcterms:W3CDTF">2024-01-19T19:55:53Z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0x01010080AAE01229974C40AB25A25D61B2DD80</vt:lpwstr>
  </property>
  <property fmtid="{D5CDD505-2E9C-101B-9397-08002B2CF9AE}" pid="3" name="MSIP_Label_ea60d57e-af5b-4752-ac57-3e4f28ca11dc_Enabled">
    <vt:lpwstr>true</vt:lpwstr>
  </property>
  <property fmtid="{D5CDD505-2E9C-101B-9397-08002B2CF9AE}" pid="4" name="MSIP_Label_ea60d57e-af5b-4752-ac57-3e4f28ca11dc_SetDate">
    <vt:lpwstr>2022-12-08T17:13:14Z</vt:lpwstr>
  </property>
  <property fmtid="{D5CDD505-2E9C-101B-9397-08002B2CF9AE}" pid="5" name="MSIP_Label_ea60d57e-af5b-4752-ac57-3e4f28ca11dc_Method">
    <vt:lpwstr>Standard</vt:lpwstr>
  </property>
  <property fmtid="{D5CDD505-2E9C-101B-9397-08002B2CF9AE}" pid="6" name="MSIP_Label_ea60d57e-af5b-4752-ac57-3e4f28ca11dc_Name">
    <vt:lpwstr>ea60d57e-af5b-4752-ac57-3e4f28ca11dc</vt:lpwstr>
  </property>
  <property fmtid="{D5CDD505-2E9C-101B-9397-08002B2CF9AE}" pid="7" name="MSIP_Label_ea60d57e-af5b-4752-ac57-3e4f28ca11dc_SiteId">
    <vt:lpwstr>36da45f1-dd2c-4d1f-af13-5abe46b99921</vt:lpwstr>
  </property>
  <property fmtid="{D5CDD505-2E9C-101B-9397-08002B2CF9AE}" pid="8" name="MSIP_Label_ea60d57e-af5b-4752-ac57-3e4f28ca11dc_ActionId">
    <vt:lpwstr>453befac-2d2d-4eba-9db5-b46811802c2f</vt:lpwstr>
  </property>
  <property fmtid="{D5CDD505-2E9C-101B-9397-08002B2CF9AE}" pid="9" name="MSIP_Label_ea60d57e-af5b-4752-ac57-3e4f28ca11dc_ContentBits">
    <vt:lpwstr>0</vt:lpwstr>
  </property>
</Properties>
</file>