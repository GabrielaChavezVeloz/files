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09"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amedeloitte.sharepoint.com/sites/Java312-Java-Pay-Pal/Shared Documents/Java-Backend/"/>
    </mc:Choice>
  </mc:AlternateContent>
  <xr:revisionPtr revIDLastSave="412" documentId="8_{2097880E-1A62-464C-B7DC-8B49F05A2B8C}" xr6:coauthVersionLast="47" xr6:coauthVersionMax="47" xr10:uidLastSave="{032DCBA4-3B88-4237-9F6F-B46617862C80}"/>
  <bookViews>
    <workbookView xWindow="-28920" yWindow="-120" windowWidth="29040" windowHeight="15840" firstSheet="4" activeTab="2" xr2:uid="{00000000-000D-0000-FFFF-FFFF00000000}"/>
  </bookViews>
  <sheets>
    <sheet name="Information" sheetId="4" r:id="rId1"/>
    <sheet name="Calendar" sheetId="1" r:id="rId2"/>
    <sheet name="Content" sheetId="2" r:id="rId3"/>
    <sheet name="Sheet1" sheetId="6" r:id="rId4"/>
    <sheet name="Training" sheetId="5" r:id="rId5"/>
    <sheet name="holidays" sheetId="3" r:id="rId6"/>
  </sheets>
  <externalReferences>
    <externalReference r:id="rId7"/>
  </externalReferenc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4" i="5" l="1" a="1"/>
  <c r="G14" i="5"/>
  <c r="H14" i="5" a="1"/>
  <c r="H14" i="5"/>
  <c r="J14" i="5"/>
  <c r="B7" i="2" a="1"/>
  <c r="B7" i="2"/>
  <c r="D7" i="2" a="1"/>
  <c r="D7" i="2"/>
  <c r="E7" i="2" a="1"/>
  <c r="E7" i="2"/>
  <c r="F7" i="2" a="1"/>
  <c r="F7" i="2"/>
  <c r="C7" i="2" a="1"/>
  <c r="C7" i="2"/>
  <c r="M5" i="5" a="1"/>
  <c r="K14" i="5" s="1" a="1"/>
  <c r="K14" i="5" s="1"/>
  <c r="M5" i="5"/>
  <c r="P29" i="2"/>
  <c r="G11" i="5" a="1"/>
  <c r="G11" i="5"/>
  <c r="R26" i="2"/>
  <c r="P26" i="2" l="1"/>
  <c r="Q26" i="2" s="1"/>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K11" i="5" a="1"/>
  <c r="K11" i="5" s="1"/>
  <c r="K22" i="5" a="1"/>
  <c r="K22" i="5" s="1"/>
  <c r="M6" i="5" a="1"/>
  <c r="M6" i="5" s="1"/>
  <c r="L18" i="5" a="1"/>
  <c r="L18" i="5" s="1"/>
  <c r="K18" i="5" a="1"/>
  <c r="K18" i="5" s="1"/>
  <c r="H18" i="5" a="1"/>
  <c r="H18" i="5" s="1"/>
  <c r="G18" i="5" a="1"/>
  <c r="G18" i="5" s="1"/>
  <c r="J18" i="5" s="1"/>
  <c r="L17" i="5" a="1"/>
  <c r="L17" i="5" s="1"/>
  <c r="K17" i="5" a="1"/>
  <c r="K17" i="5" s="1"/>
  <c r="H17" i="5" a="1"/>
  <c r="H17" i="5" s="1"/>
  <c r="G17" i="5" a="1"/>
  <c r="G17" i="5" s="1"/>
  <c r="J17" i="5" s="1"/>
  <c r="L16" i="5" a="1"/>
  <c r="L16" i="5" s="1"/>
  <c r="K16" i="5" a="1"/>
  <c r="K16" i="5" s="1"/>
  <c r="H16" i="5" a="1"/>
  <c r="H16" i="5" s="1"/>
  <c r="G16" i="5" a="1"/>
  <c r="G16" i="5" s="1"/>
  <c r="J16" i="5" s="1"/>
  <c r="L15" i="5" a="1"/>
  <c r="L15" i="5" s="1"/>
  <c r="K15" i="5" a="1"/>
  <c r="K15" i="5" s="1"/>
  <c r="H15" i="5" a="1"/>
  <c r="H15" i="5" s="1"/>
  <c r="G15" i="5" a="1"/>
  <c r="G15" i="5" s="1"/>
  <c r="J15" i="5" s="1"/>
  <c r="K13" i="5" a="1"/>
  <c r="K13" i="5" s="1"/>
  <c r="H13" i="5" a="1"/>
  <c r="H13" i="5" s="1"/>
  <c r="G13" i="5" a="1"/>
  <c r="G13" i="5" s="1"/>
  <c r="J13" i="5" s="1"/>
  <c r="K12" i="5" a="1"/>
  <c r="K12" i="5" s="1"/>
  <c r="H12" i="5" a="1"/>
  <c r="H12" i="5" s="1"/>
  <c r="G12" i="5" a="1"/>
  <c r="G12" i="5" s="1"/>
  <c r="J12" i="5" s="1"/>
  <c r="H11" i="5" a="1"/>
  <c r="H11" i="5" s="1"/>
  <c r="J11" i="5"/>
  <c r="AU4" i="1"/>
  <c r="N24" i="1"/>
  <c r="P24" i="1" s="1"/>
  <c r="R24" i="1" s="1"/>
  <c r="T24" i="1" s="1"/>
  <c r="V24" i="1" s="1"/>
  <c r="X24" i="1" s="1"/>
  <c r="Z24" i="1" s="1"/>
  <c r="AB24" i="1" s="1"/>
  <c r="AD24" i="1" s="1"/>
  <c r="AF24" i="1" s="1"/>
  <c r="AH24" i="1" s="1"/>
  <c r="AJ24" i="1" s="1"/>
  <c r="AL24" i="1" s="1"/>
  <c r="AN24" i="1" s="1"/>
  <c r="AP24" i="1" s="1"/>
  <c r="AR24" i="1" s="1"/>
  <c r="AT24" i="1" s="1"/>
  <c r="H24" i="1"/>
  <c r="J24" i="1" s="1" a="1"/>
  <c r="J24" i="1" s="1"/>
  <c r="L24" i="1" s="1"/>
  <c r="N23" i="1"/>
  <c r="P23" i="1" s="1"/>
  <c r="R23" i="1" s="1"/>
  <c r="T23" i="1" s="1"/>
  <c r="V23" i="1" s="1"/>
  <c r="X23" i="1" s="1"/>
  <c r="Z23" i="1" s="1"/>
  <c r="AB23" i="1" s="1"/>
  <c r="AD23" i="1" s="1"/>
  <c r="AF23" i="1" s="1"/>
  <c r="AH23" i="1" s="1"/>
  <c r="AJ23" i="1" s="1"/>
  <c r="AL23" i="1" s="1"/>
  <c r="AN23" i="1" s="1"/>
  <c r="AP23" i="1" s="1"/>
  <c r="AR23" i="1" s="1"/>
  <c r="AT23" i="1" s="1"/>
  <c r="H23" i="1"/>
  <c r="J23" i="1" s="1" a="1"/>
  <c r="J23" i="1" s="1"/>
  <c r="L23" i="1" s="1"/>
  <c r="N22" i="1"/>
  <c r="P22" i="1" s="1"/>
  <c r="R22" i="1" s="1"/>
  <c r="T22" i="1" s="1"/>
  <c r="V22" i="1" s="1"/>
  <c r="X22" i="1" s="1"/>
  <c r="Z22" i="1" s="1"/>
  <c r="AB22" i="1" s="1"/>
  <c r="AD22" i="1" s="1"/>
  <c r="AF22" i="1" s="1"/>
  <c r="AH22" i="1" s="1"/>
  <c r="AJ22" i="1" s="1"/>
  <c r="AL22" i="1" s="1"/>
  <c r="AN22" i="1" s="1"/>
  <c r="AP22" i="1" s="1"/>
  <c r="AR22" i="1" s="1"/>
  <c r="AT22" i="1" s="1"/>
  <c r="AV22" i="1" s="1"/>
  <c r="H22" i="1"/>
  <c r="J22" i="1" s="1" a="1"/>
  <c r="J22" i="1" s="1"/>
  <c r="L22" i="1" s="1"/>
  <c r="F22" i="1"/>
  <c r="N21" i="1"/>
  <c r="P21" i="1" s="1"/>
  <c r="R21" i="1" s="1"/>
  <c r="T21" i="1" s="1"/>
  <c r="V21" i="1" s="1"/>
  <c r="X21" i="1" s="1"/>
  <c r="Z21" i="1" s="1"/>
  <c r="AB21" i="1" s="1"/>
  <c r="AD21" i="1" s="1"/>
  <c r="AF21" i="1" s="1"/>
  <c r="AH21" i="1" s="1"/>
  <c r="AJ21" i="1" s="1"/>
  <c r="AL21" i="1" s="1"/>
  <c r="AN21" i="1" s="1"/>
  <c r="AP21" i="1" s="1"/>
  <c r="AR21" i="1" s="1"/>
  <c r="AT21" i="1" s="1"/>
  <c r="AV21" i="1" s="1"/>
  <c r="H21" i="1"/>
  <c r="J21" i="1" s="1" a="1"/>
  <c r="J21" i="1" s="1"/>
  <c r="L21" i="1" s="1"/>
  <c r="F21" i="1"/>
  <c r="N20" i="1"/>
  <c r="P20" i="1" s="1"/>
  <c r="R20" i="1" s="1"/>
  <c r="T20" i="1" s="1"/>
  <c r="V20" i="1" s="1"/>
  <c r="X20" i="1" s="1"/>
  <c r="Z20" i="1" s="1"/>
  <c r="AB20" i="1" s="1"/>
  <c r="AD20" i="1" s="1"/>
  <c r="AF20" i="1" s="1"/>
  <c r="AH20" i="1" s="1"/>
  <c r="AJ20" i="1" s="1"/>
  <c r="H20" i="1"/>
  <c r="J20" i="1" s="1" a="1"/>
  <c r="J20" i="1" s="1"/>
  <c r="L20" i="1" s="1"/>
  <c r="N19" i="1"/>
  <c r="P19" i="1" s="1"/>
  <c r="R19" i="1" s="1"/>
  <c r="T19" i="1" s="1"/>
  <c r="V19" i="1" s="1"/>
  <c r="X19" i="1" s="1"/>
  <c r="Z19" i="1" s="1"/>
  <c r="AB19" i="1" s="1"/>
  <c r="AD19" i="1" s="1"/>
  <c r="AF19" i="1" s="1"/>
  <c r="AH19" i="1" s="1"/>
  <c r="AJ19" i="1" s="1"/>
  <c r="AL19" i="1" s="1"/>
  <c r="AN19" i="1" s="1"/>
  <c r="AP19" i="1" s="1"/>
  <c r="AR19" i="1" s="1"/>
  <c r="AT19" i="1" s="1"/>
  <c r="AV19" i="1" s="1"/>
  <c r="H19" i="1"/>
  <c r="J19" i="1" s="1" a="1"/>
  <c r="J19" i="1" s="1"/>
  <c r="L19" i="1" s="1"/>
  <c r="F19" i="1"/>
  <c r="AV18" i="1"/>
  <c r="AV17" i="1"/>
  <c r="H16" i="1"/>
  <c r="J16" i="1" s="1" a="1"/>
  <c r="J16" i="1" s="1"/>
  <c r="L16" i="1" s="1"/>
  <c r="N16" i="1" s="1"/>
  <c r="P16" i="1" s="1"/>
  <c r="R16" i="1" s="1"/>
  <c r="T16" i="1" s="1"/>
  <c r="V16" i="1" s="1"/>
  <c r="X16" i="1" s="1"/>
  <c r="Z16" i="1" s="1"/>
  <c r="AB16" i="1" s="1"/>
  <c r="AD16" i="1" s="1"/>
  <c r="AF16" i="1" s="1"/>
  <c r="AH16" i="1" s="1"/>
  <c r="AJ16" i="1" s="1"/>
  <c r="AL16" i="1" s="1"/>
  <c r="AN16" i="1" s="1"/>
  <c r="AP16" i="1" s="1"/>
  <c r="AR16" i="1" s="1"/>
  <c r="AT16" i="1" s="1"/>
  <c r="AV16" i="1" s="1"/>
  <c r="F16" i="1"/>
  <c r="E16" i="1"/>
  <c r="B16" i="1"/>
  <c r="D15" i="1"/>
  <c r="C15" i="1"/>
  <c r="B15" i="1"/>
  <c r="D14" i="1"/>
  <c r="C14" i="1"/>
  <c r="H14" i="1" s="1"/>
  <c r="B14" i="1"/>
  <c r="D13" i="1"/>
  <c r="B13" i="1"/>
  <c r="D11" i="1"/>
  <c r="D10" i="1"/>
  <c r="D9" i="1"/>
  <c r="D8" i="1"/>
  <c r="B6" i="2" l="1"/>
  <c r="F6" i="2"/>
  <c r="E6" i="2"/>
  <c r="D6" i="2"/>
  <c r="C6" i="2"/>
  <c r="AO7" i="5"/>
  <c r="AI7" i="5"/>
  <c r="AJ7" i="5"/>
  <c r="AC7" i="5"/>
  <c r="AD7" i="5"/>
  <c r="AE7" i="5"/>
  <c r="AF7" i="5"/>
  <c r="AK7" i="5"/>
  <c r="AL7" i="5"/>
  <c r="AN7" i="5"/>
  <c r="AP7" i="5"/>
  <c r="AQ7" i="5"/>
  <c r="AR7" i="5"/>
  <c r="AS7" i="5"/>
  <c r="AB7" i="5"/>
  <c r="AA7" i="5"/>
  <c r="Z7" i="5"/>
  <c r="Y7" i="5"/>
  <c r="X7" i="5"/>
  <c r="W7" i="5"/>
  <c r="V7" i="5"/>
  <c r="U7" i="5"/>
  <c r="T7" i="5"/>
  <c r="S7" i="5"/>
  <c r="R7" i="5"/>
  <c r="Q7" i="5"/>
  <c r="P7" i="5"/>
  <c r="O7" i="5"/>
  <c r="N7" i="5"/>
  <c r="M7" i="5"/>
  <c r="AL20" i="1"/>
  <c r="AN20" i="1" s="1"/>
  <c r="AP20" i="1" s="1"/>
  <c r="AR20" i="1" s="1"/>
  <c r="AT20" i="1" s="1"/>
  <c r="AV23" i="1"/>
  <c r="F23" i="1"/>
  <c r="AV24" i="1"/>
  <c r="F24" i="1"/>
  <c r="J14" i="1" a="1"/>
  <c r="J14" i="1" s="1"/>
  <c r="L14" i="1" s="1"/>
  <c r="H15" i="1"/>
  <c r="J15" i="1" s="1" a="1"/>
  <c r="J15" i="1" s="1"/>
  <c r="L15" i="1" s="1"/>
  <c r="I14" i="5" l="1" a="1"/>
  <c r="I14" i="5" s="1"/>
  <c r="F14" i="5" s="1"/>
  <c r="L14" i="5" a="1"/>
  <c r="L14" i="5" s="1"/>
  <c r="I11" i="5" a="1"/>
  <c r="I11" i="5" s="1"/>
  <c r="F11" i="5" s="1"/>
  <c r="I12" i="5" a="1"/>
  <c r="I12" i="5" s="1"/>
  <c r="F12" i="5" s="1"/>
  <c r="L11" i="5" a="1"/>
  <c r="L11" i="5" s="1"/>
  <c r="L13" i="5" a="1"/>
  <c r="L13" i="5" s="1"/>
  <c r="L12" i="5" a="1"/>
  <c r="L12" i="5" s="1"/>
  <c r="B5" i="2"/>
  <c r="B4" i="2" s="1"/>
  <c r="F5" i="2"/>
  <c r="F4" i="2" s="1"/>
  <c r="E5" i="2"/>
  <c r="E4" i="2" s="1"/>
  <c r="D5" i="2"/>
  <c r="D4" i="2" s="1"/>
  <c r="C5" i="2"/>
  <c r="C4" i="2" s="1"/>
  <c r="I18" i="5" a="1"/>
  <c r="I18" i="5" s="1"/>
  <c r="F18" i="5" s="1"/>
  <c r="I17" i="5" a="1"/>
  <c r="I17" i="5" s="1"/>
  <c r="F17" i="5" s="1"/>
  <c r="I16" i="5" a="1"/>
  <c r="I16" i="5" s="1"/>
  <c r="F16" i="5" s="1"/>
  <c r="I15" i="5" a="1"/>
  <c r="I15" i="5" s="1"/>
  <c r="F15" i="5" s="1"/>
  <c r="I13" i="5" a="1"/>
  <c r="I13" i="5" s="1"/>
  <c r="F13" i="5" s="1"/>
  <c r="AV20" i="1"/>
  <c r="F20" i="1"/>
  <c r="E15" i="1"/>
  <c r="N15" i="1"/>
  <c r="P15" i="1" s="1"/>
  <c r="R15" i="1" s="1"/>
  <c r="T15" i="1" s="1"/>
  <c r="V15" i="1" s="1"/>
  <c r="X15" i="1" s="1"/>
  <c r="Z15" i="1" s="1"/>
  <c r="AB15" i="1" s="1"/>
  <c r="AD15" i="1" s="1"/>
  <c r="AF15" i="1" s="1"/>
  <c r="AH15" i="1" s="1"/>
  <c r="AJ15" i="1" s="1"/>
  <c r="AL15" i="1" s="1"/>
  <c r="AN15" i="1" s="1"/>
  <c r="AP15" i="1" s="1"/>
  <c r="AR15" i="1" s="1"/>
  <c r="AT15" i="1" s="1"/>
  <c r="E14" i="1"/>
  <c r="N14" i="1"/>
  <c r="P14" i="1" s="1"/>
  <c r="R14" i="1" s="1"/>
  <c r="T14" i="1" s="1"/>
  <c r="V14" i="1" s="1"/>
  <c r="X14" i="1" s="1"/>
  <c r="Z14" i="1" s="1"/>
  <c r="AB14" i="1" s="1"/>
  <c r="AD14" i="1" s="1"/>
  <c r="AF14" i="1" s="1"/>
  <c r="AH14" i="1" s="1"/>
  <c r="AJ14" i="1" s="1"/>
  <c r="AL14" i="1" s="1"/>
  <c r="AN14" i="1" s="1"/>
  <c r="AP14" i="1" s="1"/>
  <c r="AR14" i="1" s="1"/>
  <c r="AT14" i="1" s="1"/>
  <c r="AV14" i="1" s="1"/>
  <c r="F15" i="1" l="1"/>
  <c r="AV1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tc={467E5A0C-0C3A-4CD2-8AD3-B798B168D98E}</author>
    <author>tc={3FE292CD-081B-47B8-A10C-802F5135C46D}</author>
  </authors>
  <commentList>
    <comment ref="AI20" authorId="0" shapeId="0" xr:uid="{467E5A0C-0C3A-4CD2-8AD3-B798B168D98E}">
      <text>
        <t>[Threaded comment]
Your version of Excel allows you to read this threaded comment; however, any edits to it will get removed if the file is opened in a newer version of Excel. Learn more: https://go.microsoft.com/fwlink/?linkid=870924
Comment:
    Corte 13 dias de diferencia entre lo estimado y lo tomado</t>
      </text>
    </comment>
    <comment ref="AK20" authorId="1" shapeId="0" xr:uid="{3FE292CD-081B-47B8-A10C-802F5135C46D}">
      <text>
        <t>[Threaded comment]
Your version of Excel allows you to read this threaded comment; however, any edits to it will get removed if the file is opened in a newer version of Excel. Learn more: https://go.microsoft.com/fwlink/?linkid=870924
Comment:
    14 dias de vacaciones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<sst xmlns="http://schemas.openxmlformats.org/spreadsheetml/2006/main" count="674" uniqueCount="373">
  <si>
    <t>Done</t>
  </si>
  <si>
    <t>git incomplete, folder complete</t>
  </si>
  <si>
    <t>folder incomplete, git complete</t>
  </si>
  <si>
    <t>Incomplete</t>
  </si>
  <si>
    <t>On hold</t>
  </si>
  <si>
    <t>N</t>
  </si>
  <si>
    <t xml:space="preserve">Nuevo en la academia </t>
  </si>
  <si>
    <t>C</t>
  </si>
  <si>
    <t>Ya estuvo en academia o es bench</t>
  </si>
  <si>
    <t>Macro execution</t>
  </si>
  <si>
    <t>Active developer mode  in your Excel</t>
  </si>
  <si>
    <t>Click File -&gt; Options, It´ll open a Excel Options modal</t>
  </si>
  <si>
    <t xml:space="preserve">Select Customize Ribbon.
</t>
  </si>
  <si>
    <t>Under Customize the Ribbon and under Main Tabs, select the Developer check box.</t>
  </si>
  <si>
    <t>Run Crear Carpetas</t>
  </si>
  <si>
    <t>Click on Developer tab</t>
  </si>
  <si>
    <t xml:space="preserve">Select Macros, It´ll open a macro window
</t>
  </si>
  <si>
    <t xml:space="preserve">Select Crear Carpetas and click on Run button
</t>
  </si>
  <si>
    <t>It´ll prompt you a location where the folder will be created</t>
  </si>
  <si>
    <t>It´ll prompt you the first cell on the excel to start created the folders with the followings name</t>
  </si>
  <si>
    <t>Notes:</t>
  </si>
  <si>
    <t>You need to open the .xlsm file</t>
  </si>
  <si>
    <t>You need to use your excel app</t>
  </si>
  <si>
    <t>Java</t>
  </si>
  <si>
    <t>Days</t>
  </si>
  <si>
    <t>Time</t>
  </si>
  <si>
    <t>Optional</t>
  </si>
  <si>
    <t>Course</t>
  </si>
  <si>
    <t>Human Resources</t>
  </si>
  <si>
    <t>Deloitte</t>
  </si>
  <si>
    <t>Dextra Prosess</t>
  </si>
  <si>
    <t>Spring Boot Master</t>
  </si>
  <si>
    <t xml:space="preserve">SQL </t>
  </si>
  <si>
    <t>Spring Boot Labs</t>
  </si>
  <si>
    <t>Spring Boot - Spring Cloud</t>
  </si>
  <si>
    <t xml:space="preserve">Interview Spring &amp; Spring Boot </t>
  </si>
  <si>
    <t>Exercise 1</t>
  </si>
  <si>
    <t>Spring Boot - Testing</t>
  </si>
  <si>
    <t>Junit - Mockito</t>
  </si>
  <si>
    <t>Exercise 2</t>
  </si>
  <si>
    <t>Event Driven, Queues</t>
  </si>
  <si>
    <t>Messaging</t>
  </si>
  <si>
    <t>Kafka</t>
  </si>
  <si>
    <t>Exercise 4</t>
  </si>
  <si>
    <t>Architect-Microservices - Learning 1</t>
  </si>
  <si>
    <t>Architect-Microservices Learning 2</t>
  </si>
  <si>
    <t>Architect-Microservices 3</t>
  </si>
  <si>
    <t>Exercise 5</t>
  </si>
  <si>
    <t xml:space="preserve">Final Project </t>
  </si>
  <si>
    <t>Lombok</t>
  </si>
  <si>
    <t>-</t>
  </si>
  <si>
    <t>Glue</t>
  </si>
  <si>
    <t>ETLs</t>
  </si>
  <si>
    <t>Cassandra</t>
  </si>
  <si>
    <t>Spark</t>
  </si>
  <si>
    <t>AWS</t>
  </si>
  <si>
    <t>Exercise 3</t>
  </si>
  <si>
    <t>Duracion</t>
  </si>
  <si>
    <t>3 dias 1 hora</t>
  </si>
  <si>
    <t>2 dias 2 horas</t>
  </si>
  <si>
    <t>1 dia 2 horas</t>
  </si>
  <si>
    <t>5 dias</t>
  </si>
  <si>
    <t>2 dias</t>
  </si>
  <si>
    <t>3 dias</t>
  </si>
  <si>
    <t>1/2 dia</t>
  </si>
  <si>
    <t xml:space="preserve">1 casi dia </t>
  </si>
  <si>
    <t>4 dias</t>
  </si>
  <si>
    <t>3 horas</t>
  </si>
  <si>
    <t>1 hora</t>
  </si>
  <si>
    <t xml:space="preserve">1 semana 2.5 dias </t>
  </si>
  <si>
    <t>1 dia 6 horas</t>
  </si>
  <si>
    <t xml:space="preserve">medio dia </t>
  </si>
  <si>
    <t>3 dias 6 horas</t>
  </si>
  <si>
    <t>1 semana 1 dia</t>
  </si>
  <si>
    <t>JR</t>
  </si>
  <si>
    <t>x</t>
  </si>
  <si>
    <t>Int</t>
  </si>
  <si>
    <t>SR</t>
  </si>
  <si>
    <t>TL</t>
  </si>
  <si>
    <t>Rol</t>
  </si>
  <si>
    <t>Fecha Ingreso a la firma</t>
  </si>
  <si>
    <t>Fecha Inicio curso</t>
  </si>
  <si>
    <t>Fecha fin curso</t>
  </si>
  <si>
    <t>Aditional</t>
  </si>
  <si>
    <t>Date</t>
  </si>
  <si>
    <t>Complete</t>
  </si>
  <si>
    <t>?????</t>
  </si>
  <si>
    <t>Completo</t>
  </si>
  <si>
    <t>JOSE ARTURO RAMIREZ MORALES</t>
  </si>
  <si>
    <t>GABRIELA CHAVEZ VELOZ</t>
  </si>
  <si>
    <t>LUIS ALBERTO PERALTA ORTIZ</t>
  </si>
  <si>
    <t>LEONARDO FABIAN VALENCIA QUEVEDO</t>
  </si>
  <si>
    <t>Jose Isaac Garcia Martinez</t>
  </si>
  <si>
    <t>TOMOFF, DENIS IVAN</t>
  </si>
  <si>
    <t>Month</t>
  </si>
  <si>
    <t>Week's</t>
  </si>
  <si>
    <t>Day's</t>
  </si>
  <si>
    <t>Total:</t>
  </si>
  <si>
    <t>Omar</t>
  </si>
  <si>
    <t>Fast</t>
  </si>
  <si>
    <t>INT</t>
  </si>
  <si>
    <t>Steps</t>
  </si>
  <si>
    <t>Topic</t>
  </si>
  <si>
    <t>Name material</t>
  </si>
  <si>
    <t>Link</t>
  </si>
  <si>
    <t>Comments</t>
  </si>
  <si>
    <t>Time /hrs</t>
  </si>
  <si>
    <t>Column1</t>
  </si>
  <si>
    <t>Titulo</t>
  </si>
  <si>
    <t>Descripcion</t>
  </si>
  <si>
    <t>Estrellas</t>
  </si>
  <si>
    <t># de ratings</t>
  </si>
  <si>
    <t># de estudiantes</t>
  </si>
  <si>
    <t>ultima actualización</t>
  </si>
  <si>
    <t>horas</t>
  </si>
  <si>
    <t>minutos</t>
  </si>
  <si>
    <t>temario</t>
  </si>
  <si>
    <t>Git</t>
  </si>
  <si>
    <t>Configurar GitHub</t>
  </si>
  <si>
    <t>Follow the instructions of the github presentation, if you get issues that take you more than 1 hour, contact Omar/Oscar</t>
  </si>
  <si>
    <t xml:space="preserve"> </t>
  </si>
  <si>
    <t>https://deloittedevelopment.udemy.com/course/master-restful-apis-with-spring-boot/</t>
  </si>
  <si>
    <t>Upload your certificate pdf file in Dextra Master System. If you created code, upload it in GitHub</t>
  </si>
  <si>
    <t>Master RESTful APIs with Spring Boot 2 in 100 Steps | Udemy</t>
  </si>
  <si>
    <t>Learn RESTful APIs using Spring Boot 2 with a Hands-on Step by Step Approach by building a User Management Service!</t>
  </si>
  <si>
    <t>4.5</t>
  </si>
  <si>
    <t xml:space="preserve">905 </t>
  </si>
  <si>
    <t xml:space="preserve">11,459 </t>
  </si>
  <si>
    <t xml:space="preserve"> 8/2022</t>
  </si>
  <si>
    <t>13</t>
  </si>
  <si>
    <t> 23</t>
  </si>
  <si>
    <t>Introduction</t>
  </si>
  <si>
    <t xml:space="preserve">Step-01: Course Introduction
Step-02: Introduction to RESTful API
Step-03: Development Environment Setup
</t>
  </si>
  <si>
    <t>SpringBoot - Manage Project via github and HelloWorld RESTful Service</t>
  </si>
  <si>
    <t xml:space="preserve">Step-00: Best way to quickly complete this course
Step-00: Github &amp; HelloWorld Introduction
Step-01: Create Spring Boot base project from start.spring.io
Step-02: Introduction for managing Spring Boot projects via github
Step-03: Github Base Setup
Step04: Add GIT Repository to Spring Tool Suite IDE
Step05: Create a Simple Hello World RESTful Service which returns a String
Step-06: Create a Simple Hello World REST Service which returns a Bean (JSON)
Step-07: GIT Commit &amp; Push Hello World RESTful service changes to Github
Connect with Me !!!
</t>
  </si>
  <si>
    <t>SpringBoot - Build RESTful Webservices using Spring Data JPA</t>
  </si>
  <si>
    <t xml:space="preserve">Step-00: Introduction to Build RESTful APIs with JPA
Step-01: Usecase Introduction
Step-02: Verify pom.xml for all Dependencies
Step-03: Update application.properties required for JPA based RESTful Services
Step-04-01: Create User Entity - Understand @Entity Annotation
Step-04-02: Create User Entity - Understand @Table Annotation
Step-04-03: Create User Entity - Define Variables, Getters &amp; Setters
Step-05: Understand and Implement changes related to H2 Database
Step-06: Create User Repository - @Repository
Step-07: Implement getAllUsers RESTful Service - @Service, @RestController
Step-08: Test getAllUsers RESTful Service - Using REST Client POSTMAN
Step-09: Implement createUser RESTful Service - @PostMapping
Step-10: Implement getUserById RESTful Service - @GetMapping
Step-11: Implement updateUserById RESTful service  - @PutMapping
Step-12: Implement deleteUserById RESTful Service - @DeleteMapping
Step-13: Implement getUserByUsername RESTful Service - @GetMapping
Step-14: GIT Commit, Push, Merge to Master and Push
</t>
  </si>
  <si>
    <t>SpringBoot -  Exception Handling with  ResponseStatusException - Spring5 latest</t>
  </si>
  <si>
    <t xml:space="preserve">Step-00: Introduction to Exception Handling using ResponseStatusException
Step-00: Create git branch  - local &amp; remote
Step-01: Implement ResponseStatusException handling for getUserById
Step-02: Implement ResponseStatusException for updateUserById RESTful Service
Step-03: Implement ResponseStatusException for deleteUserById RESTful Service
Step-04: Implement ResponseStatusException for createUser RESTful Service
Step-05: Implement HTTP Status code &amp; Location Header for createUser Service
Step-06: GIT Commit, Push, Merge to Master and Push
Connect with Me !!!
</t>
  </si>
  <si>
    <t>SpringBoot - Validations &amp; Global Exception Handling</t>
  </si>
  <si>
    <t xml:space="preserve">Step-00: Introduction to Spring Boot - Validations &amp; Global Exception Handling
Step-00: Create git branch for Validations &amp; Global Exception Handling
Step-01: Implement Bean Validation - @Valid
Step-02: Implement custom Global Exception Handler - @ControllerAdvice
Step-03: Implement HttpRequestMethodNotSupportedException in GEH
Step-04: Implement UserNameNotFoundException in GEH - @ExceptionHandler
Step-05: Path Variable Validation &amp; ConstraintViolationException in GEH
Step-06: Implement Global Exception Handling using @RestControllerAdvice
Step-07: Switching between @ControllerAdvice and @RestControllerAdvice
</t>
  </si>
  <si>
    <t>Spring Boot - JPA - OneToMany Association</t>
  </si>
  <si>
    <t xml:space="preserve">Step-00: Need for JPA OneToMany for HATEOAS
Step-00: Introduction to JPA OneToMany Association
Step-01: Create git branch  for JPA OneToMany Association
Step-02: Create Order Entity and @ManyToOne Association
Step-03: Update User entity with @OneToMany Association
Step-04: Implement "getAllOrders" RESTful Service
Step-05: Implement "createOrder" RESTful Service
Step-06: Implement "getOrderByOrderId" RESTful Service
Step-07: GIT Commit, Push, Merge to Master and Push
</t>
  </si>
  <si>
    <t>Spring Boot - HATEOAS</t>
  </si>
  <si>
    <t xml:space="preserve">Step-00: Introduction to Spring Boot - HATEOAS
Step-00: Create git branch for HATEOAS
Step-01: Add HATEOAS Dependency in pom.xml
Step-02: Extend User and Order Entities with ResourceSupport
Step-03: Create new User and Order Controllers for HATEOAS Implementation
Step-04: Implement self link in getUserById Method
Step-05: Implement self and relationship links in getAllUsers Method
Step06: GIT commit code, push to remote, merge to master
</t>
  </si>
  <si>
    <t>Spring Boot - Internationalization</t>
  </si>
  <si>
    <t xml:space="preserve">Step-00: Introduction to Internationalization
Step-00: Create git branch for Internationalization
Step-01: Create LocaleResolver and ResourceBundleMessageSource Beans
Step-02: Implement RESTful Service with Internationalization
Step-03: GIT Commit, Push, Merge to Master and Push
</t>
  </si>
  <si>
    <t>SpringBoot - Filtering</t>
  </si>
  <si>
    <t xml:space="preserve">Step-01: Implement Static Filtering using @JsonIgnore and @JsonIgnoreProperties
Step-02: Implement Dynamic Filtering using MappingJacksonValue
Step-03: Implement Dynamic Filtering with MappingJacksonValue &amp; @RequestParam
Step-04: Dynamic Filtering - git Commit and Push code
Step-05: Introduction to Filtering using @JsonView
Step-06: Implement Filtering using @JsonView
</t>
  </si>
  <si>
    <t>SpringBoot - DTOs - Data Transfer Objects</t>
  </si>
  <si>
    <t xml:space="preserve">Step-01: ModelMapper Introduction
Step-02: ModelMapper Configuration Setup
Step-03: Implement Methods using ModelMapper
Step-04: MapStruct Introduction
Step-05: MapStruct Configuration Setup
Step-06: MapStruct - Create UserMapper and Implement getAllUsers Method
Step-07: MapStruct - Implement getUserById Method using MapStruct UserMapper
</t>
  </si>
  <si>
    <t>SpringBoot - Versioning &amp; Content Negotiation</t>
  </si>
  <si>
    <t xml:space="preserve">Step-00: Versioning Introduction
Step-01: Create DTO's required for Versioning Implementation
Step-02: Implement URI Versioning
Step-03: Implement Request Parameter Versioning
Step-04: Implement Custom Header Versioning
Step-05: Implement Media Type Versioning
Step-06: Implement &amp; Test Content Negotiation
Step-07: GIT Commit Code &amp; Push for Content Negotiation branch
</t>
  </si>
  <si>
    <t>SpringBoot - Swagger Integration</t>
  </si>
  <si>
    <t xml:space="preserve">Step-00: Introduction to Swagger
Step-01: Add Springfox Dependencies to pom.xml and Create SwaggerConfig file
Step-02: Adding API Info to modify header part of our documentation
Step-04: Restrict scope of swagger document generation using API Base packages
Step-05: Auto populate documentation for JSR-303 Validations
Step-06: Adding Swagger Core Annotations to Model class
Step-07: Adding Swagger Core Annotations to Controller classes
</t>
  </si>
  <si>
    <t>SpringBoot Actuator &amp; SpringBoot Admin</t>
  </si>
  <si>
    <t xml:space="preserve">Step-00: SpringBoot Actuator Introduction
Step-01: Add Actuator Dependency in pom.xml
Step-02: Expose all Actuator Endpoints and discuss about them
Step-03: SpringBoot Admin Introduction
Step-04: SpringBoot Admin - Base Setup
Step-05: Point SpringBoot Client Application to SpringBoot Admin Server
Step-06: Test the features in SpringBoot Admin Server
</t>
  </si>
  <si>
    <t>SpringBoot - Actuator &amp; Micrometer</t>
  </si>
  <si>
    <t xml:space="preserve">Step-00: Introduction to SpringBoot Micrometer
Step-01: Add Micrometer Dependency to pom.xml
Step-02: Integrate with JMX  and view metrics in JConsole
Step-03: Integrate with AppOptics to export metrics and View metrics in AppOptic
Step-04: Verify Metrics in AppOptics and Create Metrics Dashboards
</t>
  </si>
  <si>
    <t>Congratulations</t>
  </si>
  <si>
    <t xml:space="preserve">Bonus Lecture
</t>
  </si>
  <si>
    <t>Labs</t>
  </si>
  <si>
    <t>https://deloittedevelopment.udemy.com/labs/build-an-online-store-with-spring-boot-spring-web-and-java/overview/</t>
  </si>
  <si>
    <t>Complete the practice and upload the result to GitHub. In choose your mode section, we recommend you to start the lab by clicking on guided challenge. Within the lab, use your IDE to code, later copy your code and paste it to the lab when you want to test it, this way you won't lose your code and you could updload it to the repo</t>
  </si>
  <si>
    <t>Cloud</t>
  </si>
  <si>
    <t>https://deloittedevelopment.udemy.com/course/microservices-with-spring-boot-and-spring-cloud/</t>
  </si>
  <si>
    <t>Interview</t>
  </si>
  <si>
    <t>Spring &amp; Spring Boot interview</t>
  </si>
  <si>
    <t>https://deloittedevelopment.udemy.com/course/spring-interview-questions-and-answers/</t>
  </si>
  <si>
    <t>Spring &amp; Spring Boot Interview Guide | Udemy</t>
  </si>
  <si>
    <t>Spring &amp; Spring Boot Interview Guide with 200+ Questions &amp; Answers. With REST API, JPA, Hibernate and Spring Data JPA.</t>
  </si>
  <si>
    <t xml:space="preserve">3,841 </t>
  </si>
  <si>
    <t xml:space="preserve">29,337 </t>
  </si>
  <si>
    <t xml:space="preserve"> 5/2023</t>
  </si>
  <si>
    <t>5</t>
  </si>
  <si>
    <t> 52</t>
  </si>
  <si>
    <t xml:space="preserve">001-Preview To Spring Interview Guide
Congratulations
One Thing You Should Do
002-Introduction To Our Github Repository
003-Setting up the Course Presentation
004-Overview of Spring Interview Guide
</t>
  </si>
  <si>
    <t>Spring Framework</t>
  </si>
  <si>
    <t xml:space="preserve">101-Basics of Spring Framework
102-Spring Application Context and IOC Container
103-Spring - Component Scan
104-@Controller, @Component, @Repository, and @Service Annotations
105-Scope of a Bean
106-Setter and Constructor Injection
107-Spring Application Contexts - XML and Java Configuration
108-Spring and Autowiring
109-Debugging with Spring Framework. @Primary and @Qualifier
110-CDI(Contexts and Dependency Injection) and Spring
111-Spring Major Versions and New Features
112-Spring Modules
113-Spring Projects
114-Spring Design Patterns, BOM and Annotations
115-Big Picture of Spring Framework
</t>
  </si>
  <si>
    <t>Spring MVC</t>
  </si>
  <si>
    <t xml:space="preserve">201-Web Application Architectures - Model 1, Model 2 and Front Controller
202-Spring MVC High Level Flow
203-Dispatcher Servlet and Configuration
204-Form Backing Object, Form Tags, Validation and Binding Result
205-Path Variable, Model and Session Attributes
206-Date Format Binding
207-Exception Handling and Controller Advice
208-Why is Spring MVC Popular?
</t>
  </si>
  <si>
    <t>Spring Boot</t>
  </si>
  <si>
    <t xml:space="preserve">301-Spring Boot - Goals and Features
302-Spring Boot vs Spring vs Spring MVC
303-@SpringBootApplication
304-Introduction to Auto Configuration
305-Embedded Servers - Tomcat, Jetty and Undertow
306-Introduction to Starter Projects
307-Starter Parent and Dependency Management
308-Creating Spring Projects with Spring Initializr
309-Configuration with Application Properties
310-Custom Application Configuration with @ConfigurationProperties
311-Spring Boot Profiles
312-Monitoring your application with Spring Boot Actuator
313-Do things at application startup with CommandLineRunner
</t>
  </si>
  <si>
    <t>Spring Data, Spring JDBC and JPA</t>
  </si>
  <si>
    <t xml:space="preserve">401-Spring JDBC - JdbcTemplate and RowMapper
402-JPA, Hibernate - Entity and Entity Manager
403-JPA Relationships - One to One, One to Many, Many to Many
404-JPA Configuration - Data Source, persistence.xml and Entity Manager Factory
405-Spring Data - Need, Overview and Repository
</t>
  </si>
  <si>
    <t>Unit and Integration Testing</t>
  </si>
  <si>
    <t xml:space="preserve">501-Unit Testing with Mockito
502-Unit Testing Controllers with Mock MVC Framework
503-Integration Testing with Spring Boot
</t>
  </si>
  <si>
    <t>AOP</t>
  </si>
  <si>
    <t xml:space="preserve">601-Introduction to Spring AOP
602-AOP Basics - Aspect, Pointcut, Advice and Weaving
</t>
  </si>
  <si>
    <t>SOAP Web Services</t>
  </si>
  <si>
    <t xml:space="preserve">701-What is a Web Service?
702-SOAP Web Service - SOAP Envelope, Header and Body
703-SOAP Request Examples - SOAP Header
704-WSDL - an overview
705-Contract First Approach and XSD
706-JAXB and Configuration with Spring Web Services
707-Writing an Endpoint with Spring Web Services
708-MessageDispatcherServlet and configuration
709-Generating a WSDL with Spring Web Services
710-Error Handling for SOAP Web Services
</t>
  </si>
  <si>
    <t>RESTful Web Services</t>
  </si>
  <si>
    <t xml:space="preserve">801-What is REST?
802-Best Practices of RESTful Services
803-GET Resource method with Spring REST
804-POST Resource method with Spring REST and ResponseEntity
805-Implementing HATEOAS for RESTful Web Services
806-Documenting RESTful web services with Swagger
807-Content Negotiation and Representation of a Resource
808-Exception Handling and Validation for RESTFul Web Services
809-Versioning for RESTful Web Services
</t>
  </si>
  <si>
    <t xml:space="preserve">Bonus Lecture
901-Conclusion To  Spring Interview Guide
</t>
  </si>
  <si>
    <t>Exercise</t>
  </si>
  <si>
    <t>The microservices generated in the previous practices must run in a docker container, one for each microservice, then integrate them into a Kubernetes container organizer.</t>
  </si>
  <si>
    <t>Upload your evidence to GitHub</t>
  </si>
  <si>
    <t>Testing</t>
  </si>
  <si>
    <t>https://deloittedevelopment.udemy.com/course/testing-spring-boot-beginner-to-guru/</t>
  </si>
  <si>
    <t>Testing Spring Boot: Beginner to Guru | Udemy</t>
  </si>
  <si>
    <t>Become an Expert Testing Java and Spring Boot Applications using JUnit 5, Mockito, Spring Boot, and More!</t>
  </si>
  <si>
    <t xml:space="preserve">2,666 </t>
  </si>
  <si>
    <t xml:space="preserve">23,743 </t>
  </si>
  <si>
    <t xml:space="preserve"> 11/2022</t>
  </si>
  <si>
    <t>17</t>
  </si>
  <si>
    <t> 10</t>
  </si>
  <si>
    <t xml:space="preserve">Meet Your Instructor
Introduction to Testing Spring Boot - Beginner to Guru
Getting the Most out of your Testing Spring Boot Course
Is Your IDE Free Like a Puppy?
IntelliJ 120 Day Trial
Slack Community Exclusive to Testing Spring Boot Course!
GitHub Workflow
</t>
  </si>
  <si>
    <t>Introduction to Testing Software</t>
  </si>
  <si>
    <t xml:space="preserve">Introduction
Introduction to Testing Software
JUnit Test Example
Common Testing Frameworks for Java
Beyond Testing with CI and CD
Conclusion
</t>
  </si>
  <si>
    <t>Test Driven Development By Example</t>
  </si>
  <si>
    <t xml:space="preserve">Introduction
TDD By Example Kent Beck
Development Requirements and Base Project
Multi-Currency Money
Degenerate Objects
Equality for All
Privacy
Franc-ly Speaking
Equality for All, Redux
Apples and Oranges
Makin' Objects
Times We're Livin' In
Interesting Times
The Root of All Evil
Addition, Finally
Make It
Change
Mixed Currencies
Abstraction, Finally
Viewing Test Coverage from IntelliJ
Conclusion
</t>
  </si>
  <si>
    <t>Getting Started with JUnit 5</t>
  </si>
  <si>
    <t xml:space="preserve">Introduction to Getting Started with JUnit 5
Introduction to JUnit 5
JUnit Maven Project Setup
JUnit Hello World Test
Initializing Properties with JUnit 5 @BeforeEach
JUnit 5 Test Instance Lifecycle Demo
Running JUnit 5 Tests from Command Line with Maven
JUnit Gradle Project Setup
Running JUnit 5 Tests from Command Line with Gradle
Conclusion of Getting Started with JUnit 5
</t>
  </si>
  <si>
    <t>Testing Java with JUnit 5</t>
  </si>
  <si>
    <t xml:space="preserve">Introduction to Testing Java with JUnit 5
Java Test Project Code Review
Overview of JUnit Assertions
JUnit Assertions
JUnit Grouped Assertions
JUnit Dependent Assertions
Skipping JUnit Tests
JUnit Test Display Names
Testing Expected Exceptions
Testing Timeouts
JUnit Assumptions
Conditional JUnit Test Execution
Using AssertJ with JUnit
Using Hamcrest with JUnit
Assignment - Write JUnit Test for Vet Controller List Vets
Assignment Review - Write JUnit Test for Vet Controller List Vets
Conclusion
</t>
  </si>
  <si>
    <t>Advanced JUnit Testing</t>
  </si>
  <si>
    <t xml:space="preserve">Introduction to Advanced JUnit Testing
Tagging and Filtering JUnit Tests
JUnit Nested Tests
JUnit Test Interfaces
Using JUnit Default Test Methods
Repeating Tests with JUnit 5
JUnit Test Dependency Injection
Assignment - JUnit Dependency Injection
Assignment Review
JUnit Parameterized Tests - Value Source
JUnit Parameterized Test - Display Name
JUnit Parameterized Tests - ENUM Source
JUnit Parameterized Tests - CSV Source
JUnit Parameterized Tests - CSV File Source
JUnit Parameterized Tests - Method Provider
JUnit Parameterized Tests - Custom Provider
Unit Tests vs Integration Tests
JUnit Extensions
Conclusion
</t>
  </si>
  <si>
    <t>Test Execution</t>
  </si>
  <si>
    <t xml:space="preserve">Introduction
Running Tests from IDE
Maven Surefire Plugin
Maven Failsafe Plugin
Maven SurefireTest Reporting
Executing JUnit Test with Tags in Maven
Running Tests from CI Builds With Maven
CircleCI Build Badge
Gradle Project Overview
Running JUnit Tests from Gradle
Integration Tests With Gradle
Gradle JUnit Test Reports
Conclusion
</t>
  </si>
  <si>
    <t>JUnit 4 to JUnit 5 Migration Guide</t>
  </si>
  <si>
    <t xml:space="preserve">Introduction
JUnit 4 Example Project
Differences Between JUnit 4 and JUnit 5
JUnit 5 Maven Dependencies and Configuration
Converting JUnit 4 Tests to JUnit 5
Removing JUnit 4
Conclusion
</t>
  </si>
  <si>
    <t>Getting Started with Mockito</t>
  </si>
  <si>
    <t xml:space="preserve">Introduction
Introduction to Mockito
Maven Dependencies for Mockito
Creating Mockito Mocks Inline
Creating Mockito Mocks with Annotations
JUnit Mockito Extension
Injecting Mocks with Mockito
Verify Interactions With Mockito Mocks
Assignment - Write Mockito Tests for Vet Service
Assignment Review
Returning values from Mockito Mocks
Argument Matchers
Assignment - Complete Tests for Visit Service
Assignment Review
Conclusion
</t>
  </si>
  <si>
    <t>Behavior Driven Mockito</t>
  </si>
  <si>
    <t xml:space="preserve">Introduction
Introduction to Behavior Driven Development
BDD Mockito
BDD Verification in Mockito
Refactoring Speciality Service to BDD
Assignment - BDD Visit Service
Assignment Review
Conclusion
</t>
  </si>
  <si>
    <t>Advanced Mockito</t>
  </si>
  <si>
    <t xml:space="preserve">Introduction
Throwing Exceptions with Mockito
Java 8 Lambda Argument Matchers
Assignment - Write Controller Test
Assignment Review
Mockito Argment Capture
Using Mockito Answers
Verify Order of Interactions
Verify Interactions within Specified Time
Verify Zero or No More Interactions with Mock
Using Mockito Spies
Conclusion
</t>
  </si>
  <si>
    <t>Testing with Spring Framework</t>
  </si>
  <si>
    <t xml:space="preserve">Introduction to Testing with Spring Framework
Overview of Spring Framework Unit Testing Features
Spring Pet Clinic Code Review
Assignment - Write Spring Unit Tests
Assignment Review
Conclusion
</t>
  </si>
  <si>
    <t>Spring Framework Testing Context</t>
  </si>
  <si>
    <t xml:space="preserve">Introduction
Yanny or Laurel?
Yanny or Laurel Service Beans
JUnit 4 Laurel Test
Assignment Create Yanny JUnit 4 Test with Spring Context
Assignment Review Create Yanny JUnit 4 Test with Spring Context
JUnit 5 Laurel Test
Assignment Create Yanny JUnit 5 Test with Spring Context
Assignment Review Create Yanny JUnit 5 Test with Spring Context
Using Inner Class Configuration
Using Component Scans
Setting Active Profiles for Tests
Spring Test Properties
Assignment - Create Profile for Properties
Assignment Review
Conclusion
</t>
  </si>
  <si>
    <t>Spring MVC Test</t>
  </si>
  <si>
    <t xml:space="preserve">Introduction
Spring MVC Test Overview
Spring Mock MVC Standalone Setup
Spring Web Configuration with XML
Assignment - Test Get Method with Spring MVC Test
Assignment Review
Using Spring MVC Test with Form Parameters
Assignment - Complete Tests for Find Form
Assignment Review
Use Spring MVC Test For Form Post
Use Spring MVC Test to Test for Validation Errors
Assignment - Use Spring MVC Test with Form Post
Assignment Review
Conclusion
</t>
  </si>
  <si>
    <t>Introduction to Testing with Spring Boot</t>
  </si>
  <si>
    <t xml:space="preserve">Introduction
Overview of Testing with Spring Boot
Default Spring Boot Test Configuration
Updating Spring Boot 2.x to JUnit 5
Assignment - Configure CircleCI
Assignment Review
Code Review of SFG Brewery Project
Conclusion
</t>
  </si>
  <si>
    <t>Spring MVC Rest Controller Tests</t>
  </si>
  <si>
    <t xml:space="preserve">Introduction
Jayway JsonPath
Using JsonPath in MockMVC Tests
Using JsonPath with Lists
Using Custom Message Converters with Spring MVC Test
@WebMVC Test Slice
Using Test RestTemplate
Assignment - Write Spring MVC Tests for Get Orders
Assignment Review
Conclusion
</t>
  </si>
  <si>
    <t>Testing with Wiremock</t>
  </si>
  <si>
    <t xml:space="preserve">Introduction
Introduction to Wiremock
Wiremock Standalone Use
Recording with Wiremock
Testing with Wiremock
Importance of Test Performance
Conclusion
</t>
  </si>
  <si>
    <t>Spring MVC REST Docs</t>
  </si>
  <si>
    <t xml:space="preserve">Introduction
Spring REST Docs Introduction
Project Code Review
Maven Configuration
Spring Mock MVC Configuration
Documenting Path Parameters
Documenting Query Parameters
Documenting Responses
Documenting Requests
Documenting Validation Constraints
URI Customization
Documentation Generation
Serving Docs with Spring Boot
Assignment - Add Spring REST Doc to Project
Assignment Review
Conclusion
</t>
  </si>
  <si>
    <t>Appendix A</t>
  </si>
  <si>
    <t xml:space="preserve">Git and GitHub Basics - Start here!
GitHub Workflow
</t>
  </si>
  <si>
    <t>Mokito</t>
  </si>
  <si>
    <t>https://deloittedevelopment.udemy.com/labs/learn-unit-testing-with-junit-and-mockito/overview/</t>
  </si>
  <si>
    <t>Complete the practice and upload the tests to GitHub. In choose your mode section, we recommend you to start the lab by clicking on guided challenge. Within the lab, use your IDE to code, later copy your code and paste it to the lab when you want to test it, this way you won't lose your code and you could updload it to the repo</t>
  </si>
  <si>
    <t>From what you learned of unit tests, your consider how to integrate Mockito and Junit and integrate them into the project from the past practice.</t>
  </si>
  <si>
    <t>Upload your evidence to GitHub /  If you did the exercise 1 or to take the Labs project, you continue using the project selected to complete this exercise. If not, you continue using the Lab practice (Spring Boot Labs) to complete this exercise</t>
  </si>
  <si>
    <t>Event Drivent</t>
  </si>
  <si>
    <t>https://deloittedevelopment.udemy.com/course/java-messaging-service-spring-mvc-spring-boot-activemq/</t>
  </si>
  <si>
    <t>Java Messaging Service - Spring MVC, Spring Boot, ActiveMQ | Udemy</t>
  </si>
  <si>
    <t>Learn Queue and Topic In Detail with Java, Spring Boot, Spring MVC, Spring Framework &amp; Apache ActiveMQ</t>
  </si>
  <si>
    <t>4.1</t>
  </si>
  <si>
    <t xml:space="preserve">515 </t>
  </si>
  <si>
    <t xml:space="preserve">2,595 </t>
  </si>
  <si>
    <t xml:space="preserve"> 1/2023</t>
  </si>
  <si>
    <t>1</t>
  </si>
  <si>
    <t> 46</t>
  </si>
  <si>
    <t xml:space="preserve">Introduction to Apache ActiveMQ
</t>
  </si>
  <si>
    <t>Introduction To Java Messaging Service</t>
  </si>
  <si>
    <t xml:space="preserve">Introduction To Java Messaging Service
Understanding Of Java Messaging Service
</t>
  </si>
  <si>
    <t>Getting Started With Apache ActiveMQ</t>
  </si>
  <si>
    <t xml:space="preserve">What is Queue ?
What is topic ? Difference between Topic and Queue
Installing Apache ActiveMQ
</t>
  </si>
  <si>
    <t>Authentication and Authorization</t>
  </si>
  <si>
    <t xml:space="preserve">Adding Authentication and Authorization To Apache ActiveMQ
Web Console Broker Credentials
</t>
  </si>
  <si>
    <t>Getting Started With Queue</t>
  </si>
  <si>
    <t xml:space="preserve">Publishing Message To Queue
Consuming Message From Queue
What is Client Acknoledgment ?
Round Robin Example With Multiple Consumers
Understanding Real Time Scenario To Use ActiveMQ
Real Time Example With JSON Message
</t>
  </si>
  <si>
    <t>Getting Started With Topic</t>
  </si>
  <si>
    <t xml:space="preserve">Creating Topic
Publishing Message To Topic
Consuming Message From Topic
Topic With Multiple Consumers
</t>
  </si>
  <si>
    <t>ActiveMQ With Spring MVC</t>
  </si>
  <si>
    <t xml:space="preserve">Project Set Up
JMS Publisher Configuration
Publishing Message To Queue
JMS Consumer Using Spring JMS Template
</t>
  </si>
  <si>
    <t>ActiveMQ With Spring Boot</t>
  </si>
  <si>
    <t xml:space="preserve">Introduction To JMS With Spring Boot
Spring Boot Project Set Up For JMS
JMS Publisher Using Spring Boot
JMS Consumer Using Spring Boot
</t>
  </si>
  <si>
    <t>More To Come</t>
  </si>
  <si>
    <t xml:space="preserve">Bonus Lecture
More Lectures On The Way
</t>
  </si>
  <si>
    <t>Messagin</t>
  </si>
  <si>
    <t>https://deloittedevelopment.udemy.com/course/java-message-service-jms-fundamentals/</t>
  </si>
  <si>
    <t>https://deloittedevelopment.udemy.com/course/apache-kafka-with-java-spring-boot-theory-hands-on-coding/</t>
  </si>
  <si>
    <t>In this practice, using the above exercise, you will configure a message broker bus that performs the persistence and processing of the information</t>
  </si>
  <si>
    <t>Architect</t>
  </si>
  <si>
    <t>Architect-Microservices 1</t>
  </si>
  <si>
    <t>https://www.linkedin.com/learning/microservices-design-patterns/solving-microservices-problems-with-patterns?autoplay=true&amp;u=1504</t>
  </si>
  <si>
    <t>Watch the course</t>
  </si>
  <si>
    <t>Architect-Microservices 2</t>
  </si>
  <si>
    <t>https://www.linkedin.com/learning/microservices-asynchronous-messaging/getting-work-done-in-microservices-14348858?autoplay=true&amp;u=1504</t>
  </si>
  <si>
    <t>https://deloittedevelopment.udemy.com/course/design-microservices-architecture-with-patterns-principles/</t>
  </si>
  <si>
    <t>Upload your certificate pdf file in Dextra Master System. Upload the practice to GitHub</t>
  </si>
  <si>
    <t>Integrate in the above project a Microservice Architecture :
- Following patterns: 
1.API Gateway Pattern, 
2.API Gateway Routing, 
3.Event-Driven pattern 
4.Publish-Subscribe Design Pattern. using Message Broker Later, you should add the corresponding unit tests using the Mockito Framework</t>
  </si>
  <si>
    <t>Project</t>
  </si>
  <si>
    <t>Udemy marketplace is a web application which provides multiple courses on different
domains/technologies. Learners can sign up and then enroll for the course by paying the
course fee and start learning. The requirement is to build the backend for the online learning
marketplace application.
https://amedeloitte.sharepoint.com/:f:/r/sites/JavaMicroservicesAcademy2/Shared%20Documents/Training/Final%20Project?csf=1&amp;web=1&amp;e=Av7fKk
-Final-Project-Java
-wireframe-final-project-java.html</t>
  </si>
  <si>
    <t>Managment</t>
  </si>
  <si>
    <t>Opcional: Curso Oficial Presencial o Virtual para certificación Scrum Master (by Scrum Org) (el curso son 16 horas)</t>
  </si>
  <si>
    <t>Proveedor sugerido: Enevasys</t>
  </si>
  <si>
    <t>https://www.baeldung.com/intro-to-project-lombok</t>
  </si>
  <si>
    <t>Read the information on the webpage</t>
  </si>
  <si>
    <t>https://www.youtube.com/watch?v=lVBQ2Ac1jdA</t>
  </si>
  <si>
    <t>Watch the video and configure lombok</t>
  </si>
  <si>
    <t>https://www.youtube.com/watch?v=Vbr6jKkjCRU</t>
  </si>
  <si>
    <t xml:space="preserve">Watch the video </t>
  </si>
  <si>
    <t>Udemy marketplace is a web application which provides multiple courses on different
domains/technologies. Learners can sign up and then enroll for the course by paying the
course fee and start learning. The requirement is to build the backend for the online learning
marketplace application.</t>
  </si>
  <si>
    <t xml:space="preserve">Optional Course </t>
  </si>
  <si>
    <t>Data Management</t>
  </si>
  <si>
    <t>Transform E-Commerce Clickstream Data for Analysis Using AWS Glue (udemy.com)</t>
  </si>
  <si>
    <t xml:space="preserve">https://deloittedevelopment.udemy.com/course/data-warehouse-etl-testing-data-quality-management-a-z/ </t>
  </si>
  <si>
    <t>Data Base</t>
  </si>
  <si>
    <t>https://deloittedevelopment.udemy.com/course/from-0-to-1-the-cassandra-distributed-database/</t>
  </si>
  <si>
    <t>Upload your certificate pdf file in Dextra Master System. If you created SQL Scripts, upload them to GitHub</t>
  </si>
  <si>
    <t>https://deloittedevelopment.udemy.com/course/apache-spark-for-java-developers/</t>
  </si>
  <si>
    <t>https://deloittedevelopment.udemy.com/course/aws-serverless-microservices-lambda-eventbridge-sqs-apigateway/</t>
  </si>
  <si>
    <t>Upload your certificate pdf file in Dextra Master System. Upload your evidence to GitHub</t>
  </si>
  <si>
    <t>The above exercise now you will create a new project in AWS where you use API Gateway, Lambda, DynamoDB. Use CloudFoundation to generate the necessary code for the Infrastructure.</t>
  </si>
  <si>
    <t>Splunk</t>
  </si>
  <si>
    <t>Complete Splunk Enterprise Certified Admin Course 2023 (NEW) (udemy.com)</t>
  </si>
  <si>
    <t>PCF</t>
  </si>
  <si>
    <t>Pivotal Cloud Foundry  |  Cloud Architecture Center  |  Google Cloud</t>
  </si>
  <si>
    <t>Kubernetes</t>
  </si>
  <si>
    <t>Kubernetes for the Absolute Beginners - Hands-on | Udemy</t>
  </si>
  <si>
    <t>https://deloittedevelopment.udemy.com/course/learn-kubernetes/</t>
  </si>
  <si>
    <t>Weblogic</t>
  </si>
  <si>
    <t>Oracle Weblogic desde Cero | Udemy</t>
  </si>
  <si>
    <t>https://deloittedevelopment.udemy.com/course/oracle-weblogic-12c-desde-cero/</t>
  </si>
  <si>
    <t>Splunk 2023 - Beginner to Architect | Udemy</t>
  </si>
  <si>
    <t>https://deloittedevelopment.udemy.com/course/splunk-beginner-to-architect/</t>
  </si>
  <si>
    <t>Dynatrace</t>
  </si>
  <si>
    <t>Dynatrace functionality overview for absolute beginners | Udemy</t>
  </si>
  <si>
    <t>https://deloittedevelopment.udemy.com/course/dynatrace-learning-tutorial/</t>
  </si>
  <si>
    <t>videos</t>
  </si>
  <si>
    <t>Actividad</t>
  </si>
  <si>
    <t>java</t>
  </si>
  <si>
    <t>0-30</t>
  </si>
  <si>
    <t>Atrazo</t>
  </si>
  <si>
    <t>Academy</t>
  </si>
  <si>
    <t>Training</t>
  </si>
  <si>
    <t>estas por atrazarte</t>
  </si>
  <si>
    <t xml:space="preserve">iniciando </t>
  </si>
  <si>
    <t>Fecha Ingreso DD</t>
  </si>
  <si>
    <t>Inicio Course</t>
  </si>
  <si>
    <t>Fecha Fin</t>
  </si>
  <si>
    <t>Total</t>
  </si>
  <si>
    <t>%</t>
  </si>
  <si>
    <t>Semaforo</t>
  </si>
  <si>
    <t>DeadLine</t>
  </si>
  <si>
    <t>Luis Alberto Peralta</t>
  </si>
  <si>
    <t>JOSE QUINTERO BENITEZ</t>
  </si>
  <si>
    <t>jr</t>
  </si>
  <si>
    <t>Guardado Lopez, Gerardo</t>
  </si>
  <si>
    <t>f</t>
  </si>
  <si>
    <t>hr =&gt; day</t>
  </si>
  <si>
    <t>12/24/2022</t>
  </si>
  <si>
    <t>8 =&gt; 1</t>
  </si>
  <si>
    <t>12/25/2022</t>
  </si>
  <si>
    <t>4 =&gt; .5</t>
  </si>
  <si>
    <t>12/26/2022</t>
  </si>
  <si>
    <t>2 =&gt; .25</t>
  </si>
  <si>
    <t>12/27/2022</t>
  </si>
  <si>
    <t>1 =&gt; .12</t>
  </si>
  <si>
    <t>12/28/2022</t>
  </si>
  <si>
    <t>.5 =&gt; .06</t>
  </si>
  <si>
    <t>12/29/2022</t>
  </si>
  <si>
    <t>12/30/2022</t>
  </si>
  <si>
    <t>12/31/2022</t>
  </si>
  <si>
    <t>3/20/2023</t>
  </si>
  <si>
    <t>9/15/2023</t>
  </si>
  <si>
    <t>9/16/2023</t>
  </si>
  <si>
    <t>11/20/2023</t>
  </si>
  <si>
    <t>12/24/2023</t>
  </si>
  <si>
    <t>12/25/2023</t>
  </si>
  <si>
    <t>12/26/2023</t>
  </si>
  <si>
    <t>12/27/2023</t>
  </si>
  <si>
    <t>12/28/2023</t>
  </si>
  <si>
    <t>12/29/2023</t>
  </si>
  <si>
    <t>12/30/2023</t>
  </si>
  <si>
    <t>12/31/2023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</si>
</sst>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1">
    <font>
      <sz val="11"/>
      <color theme="1"/>
      <name val="Calibri"/>
      <family val="2"/>
      <scheme val="minor"/>
    </font>
    <font>
      <sz val="11"/>
      <color rgb="FF9C5700"/>
      <name val="Calibri"/>
      <family val="2"/>
      <scheme val="minor"/>
    </font>
    <font>
      <b/>
      <sz val="11"/>
      <color theme="0"/>
      <name val="Calibri"/>
      <family val="2"/>
      <scheme val="minor"/>
    </font>
    <font>
      <u/>
      <sz val="11"/>
      <color theme="10"/>
      <name val="Calibri"/>
      <family val="2"/>
      <scheme val="minor"/>
    </font>
    <font>
      <b/>
      <sz val="11"/>
      <color theme="1"/>
      <name val="Calibri"/>
      <family val="2"/>
      <scheme val="minor"/>
    </font>
    <font>
      <sz val="11"/>
      <color theme="0"/>
      <name val="Calibri"/>
      <family val="2"/>
      <scheme val="minor"/>
    </font>
    <font>
      <sz val="11"/>
      <name val="Calibri"/>
      <family val="2"/>
      <scheme val="minor"/>
    </font>
    <font>
      <sz val="12"/>
      <name val="Calibri"/>
      <family val="2"/>
    </font>
    <font>
      <b/>
      <sz val="12"/>
      <name val="Calibri"/>
      <family val="2"/>
    </font>
    <font>
      <b/>
      <sz val="12"/>
      <color theme="1"/>
      <name val="Calibri"/>
      <family val="2"/>
      <scheme val="minor"/>
    </font>
    <font>
      <b/>
      <sz val="12"/>
      <color rgb="FFA6A6A6"/>
      <name val="Calibri"/>
      <family val="2"/>
      <scheme val="minor"/>
    </font>
    <font>
      <b/>
      <sz val="12"/>
      <color theme="0"/>
      <name val="Calibri"/>
      <family val="2"/>
      <scheme val="minor"/>
    </font>
    <font>
      <b/>
      <sz val="12"/>
      <color theme="0" tint="-0.499984740745262"/>
      <name val="Calibri"/>
      <family val="2"/>
      <scheme val="minor"/>
    </font>
    <font>
      <sz val="14"/>
      <name val="Calibri"/>
      <family val="2"/>
      <scheme val="minor"/>
    </font>
    <font>
      <b/>
      <sz val="18"/>
      <color theme="0"/>
      <name val="Calibri"/>
      <family val="2"/>
    </font>
    <font>
      <sz val="11"/>
      <name val="Calibri"/>
      <family val="2"/>
    </font>
    <font>
      <b/>
      <sz val="11"/>
      <name val="Calibri"/>
      <family val="2"/>
      <scheme val="minor"/>
    </font>
    <font>
      <b/>
      <sz val="11"/>
      <name val="Calibri"/>
      <family val="2"/>
    </font>
    <font>
      <sz val="11"/>
      <color rgb="FF000000"/>
      <name val="Calibri"/>
      <family val="2"/>
    </font>
    <font>
      <sz val="11"/>
      <color rgb="FF305496"/>
      <name val="Calibri"/>
      <family val="2"/>
    </font>
    <font>
      <sz val="11"/>
      <color rgb="FF000000"/>
      <name val="Calibri"/>
      <family val="2"/>
      <scheme val="minor"/>
    </font>
    <font>
      <b/>
      <sz val="12"/>
      <color rgb="FF548235"/>
      <name val="Calibri"/>
      <family val="2"/>
    </font>
    <font>
      <sz val="11"/>
      <color rgb="FFFFFFFF"/>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b/>
      <sz val="11"/>
      <color rgb="FFFA7D00"/>
      <name val="Calibri"/>
      <family val="2"/>
      <scheme val="minor"/>
    </font>
    <font>
      <sz val="11"/>
      <color theme="0"/>
      <name val="Calibri"/>
      <family val="2"/>
      <scheme val="minor"/>
    </font>
    <font>
      <b/>
      <sz val="10"/>
      <color theme="1"/>
      <name val="Calibri"/>
      <family val="2"/>
      <scheme val="minor"/>
    </font>
    <font>
      <sz val="10"/>
      <color theme="1"/>
      <name val="Calibri"/>
      <family val="2"/>
      <scheme val="minor"/>
    </font>
    <font>
      <b/>
      <sz val="12"/>
      <color theme="1" tint="0.34998626667073579"/>
      <name val="Calibri"/>
      <family val="2"/>
      <scheme val="minor"/>
    </font>
    <font>
      <b/>
      <sz val="11"/>
      <color rgb="FF000000"/>
      <name val="Calibri"/>
      <family val="2"/>
      <scheme val="minor"/>
    </font>
    <font>
      <sz val="11"/>
      <color theme="1" tint="0.499984740745262"/>
      <name val="Calibri"/>
      <family val="2"/>
      <scheme val="minor"/>
    </font>
    <font>
      <sz val="14"/>
      <color rgb="FF000000"/>
      <name val="Calibri"/>
      <family val="2"/>
      <scheme val="minor"/>
    </font>
    <font>
      <sz val="11"/>
      <color rgb="FFD0021B"/>
      <name val="SFMono-Regular"/>
      <charset val="1"/>
    </font>
    <font>
      <sz val="12"/>
      <color rgb="FF1E1E1E"/>
      <name val="Segoe UI"/>
      <family val="2"/>
    </font>
    <font>
      <sz val="11"/>
      <color rgb="FF444444"/>
      <name val="Calibri"/>
      <family val="2"/>
      <charset val="1"/>
    </font>
    <font>
      <sz val="11"/>
      <color rgb="FF444444"/>
      <name val="Calibri"/>
      <family val="2"/>
    </font>
    <font>
      <b/>
      <sz val="36"/>
      <color rgb="FFFFFFFF"/>
      <name val="Calibri"/>
      <family val="2"/>
      <scheme val="minor"/>
    </font>
    <font>
      <b/>
      <sz val="14"/>
      <color rgb="FF000000"/>
      <name val="Calibri"/>
      <family val="2"/>
      <scheme val="minor"/>
    </font>
    <font>
      <sz val="24"/>
      <color rgb="FFFFFFFF"/>
      <name val="Calibri"/>
      <family val="2"/>
      <scheme val="minor"/>
    </font>
  </fonts>
  <fills count="32">
    <fill>
      <patternFill patternType="none"/>
    </fill>
    <fill>
      <patternFill patternType="gray125"/>
    </fill>
    <fill>
      <patternFill patternType="solid">
        <fgColor rgb="FFFFEB9C"/>
      </patternFill>
    </fill>
    <fill>
      <patternFill patternType="solid">
        <fgColor rgb="FFA5A5A5"/>
      </patternFill>
    </fill>
    <fill>
      <patternFill patternType="solid">
        <fgColor theme="0" tint="-0.249977111117893"/>
        <bgColor indexed="64"/>
      </patternFill>
    </fill>
    <fill>
      <patternFill patternType="solid">
        <fgColor theme="8" tint="0.39997558519241921"/>
        <bgColor indexed="64"/>
      </patternFill>
    </fill>
    <fill>
      <patternFill patternType="solid">
        <fgColor theme="5" tint="0.79998168889431442"/>
        <bgColor indexed="64"/>
      </patternFill>
    </fill>
    <fill>
      <patternFill patternType="solid">
        <fgColor rgb="FFE7E6E6"/>
        <bgColor rgb="FF000000"/>
      </patternFill>
    </fill>
    <fill>
      <patternFill patternType="solid">
        <fgColor rgb="FFD6DCE4"/>
        <bgColor rgb="FF000000"/>
      </patternFill>
    </fill>
    <fill>
      <patternFill patternType="solid">
        <fgColor rgb="FF92D050"/>
        <bgColor indexed="64"/>
      </patternFill>
    </fill>
    <fill>
      <patternFill patternType="solid">
        <fgColor rgb="FFFFFF00"/>
        <bgColor indexed="64"/>
      </patternFill>
    </fill>
    <fill>
      <patternFill patternType="solid">
        <fgColor rgb="FFFFC000"/>
        <bgColor indexed="64"/>
      </patternFill>
    </fill>
    <fill>
      <patternFill patternType="solid">
        <fgColor rgb="FFFF0000"/>
        <bgColor indexed="64"/>
      </patternFill>
    </fill>
    <fill>
      <patternFill patternType="solid">
        <fgColor rgb="FFC65911"/>
        <bgColor indexed="64"/>
      </patternFill>
    </fill>
    <fill>
      <patternFill patternType="solid">
        <fgColor rgb="FF92D050"/>
        <bgColor rgb="FF000000"/>
      </patternFill>
    </fill>
    <fill>
      <patternFill patternType="solid">
        <fgColor rgb="FFFFFF00"/>
        <bgColor rgb="FF000000"/>
      </patternFill>
    </fill>
    <fill>
      <patternFill patternType="solid">
        <fgColor rgb="FFFFC000"/>
        <bgColor rgb="FF000000"/>
      </patternFill>
    </fill>
    <fill>
      <patternFill patternType="solid">
        <fgColor rgb="FFFF0000"/>
        <bgColor rgb="FF000000"/>
      </patternFill>
    </fill>
    <fill>
      <patternFill patternType="solid">
        <fgColor rgb="FFC65911"/>
        <bgColor rgb="FF000000"/>
      </patternFill>
    </fill>
    <fill>
      <patternFill patternType="solid">
        <fgColor rgb="FF70AD47"/>
        <bgColor indexed="64"/>
      </patternFill>
    </fill>
    <fill>
      <patternFill patternType="solid">
        <fgColor theme="4" tint="0.79998168889431442"/>
        <bgColor indexed="64"/>
      </patternFill>
    </fill>
    <fill>
      <patternFill patternType="solid">
        <fgColor rgb="FFC6EFCE"/>
      </patternFill>
    </fill>
    <fill>
      <patternFill patternType="solid">
        <fgColor rgb="FFFFC7CE"/>
      </patternFill>
    </fill>
    <fill>
      <patternFill patternType="solid">
        <fgColor rgb="FFF2F2F2"/>
      </patternFill>
    </fill>
    <fill>
      <patternFill patternType="solid">
        <fgColor theme="4"/>
      </patternFill>
    </fill>
    <fill>
      <patternFill patternType="solid">
        <fgColor theme="9" tint="0.39997558519241921"/>
        <bgColor indexed="64"/>
      </patternFill>
    </fill>
    <fill>
      <patternFill patternType="solid">
        <fgColor rgb="FF0070C0"/>
        <bgColor indexed="64"/>
      </patternFill>
    </fill>
    <fill>
      <patternFill patternType="solid">
        <fgColor rgb="FFFFFFFF"/>
        <bgColor indexed="64"/>
      </patternFill>
    </fill>
    <fill>
      <patternFill patternType="solid">
        <fgColor theme="0"/>
        <bgColor indexed="64"/>
      </patternFill>
    </fill>
    <fill>
      <patternFill patternType="solid">
        <fgColor rgb="FF548235"/>
        <bgColor indexed="64"/>
      </patternFill>
    </fill>
    <fill>
      <patternFill patternType="solid">
        <fgColor theme="1"/>
        <bgColor indexed="64"/>
      </patternFill>
    </fill>
    <fill>
      <patternFill patternType="solid">
        <fgColor rgb="FF70AD47"/>
        <bgColor rgb="FF000000"/>
      </patternFill>
    </fill>
  </fills>
  <borders count="22">
    <border>
      <left/>
      <right/>
      <top/>
      <bottom/>
      <diagonal/>
    </border>
    <border>
      <left style="double">
        <color rgb="FF3F3F3F"/>
      </left>
      <right style="double">
        <color rgb="FF3F3F3F"/>
      </right>
      <top style="double">
        <color rgb="FF3F3F3F"/>
      </top>
      <bottom style="double">
        <color rgb="FF3F3F3F"/>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rgb="FF000000"/>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style="thin">
        <color indexed="64"/>
      </left>
      <right/>
      <top style="thin">
        <color indexed="64"/>
      </top>
      <bottom/>
      <diagonal/>
    </border>
    <border>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right/>
      <top/>
      <bottom style="thin">
        <color indexed="64"/>
      </bottom>
      <diagonal/>
    </border>
    <border>
      <left style="thin">
        <color indexed="64"/>
      </left>
      <right style="medium">
        <color indexed="64"/>
      </right>
      <top/>
      <bottom style="medium">
        <color indexed="64"/>
      </bottom>
      <diagonal/>
    </border>
    <border>
      <left style="thin">
        <color rgb="FF000000"/>
      </left>
      <right style="thin">
        <color rgb="FF000000"/>
      </right>
      <top/>
      <bottom style="thin">
        <color rgb="FF000000"/>
      </bottom>
      <diagonal/>
    </border>
  </borders>
  <cellStyleXfs count="9">
    <xf numFmtId="0" fontId="0" fillId="0" borderId="0"/>
    <xf numFmtId="0" fontId="1" fillId="2" borderId="0" applyNumberFormat="0" applyBorder="0" applyAlignment="0" applyProtection="0"/>
    <xf numFmtId="0" fontId="2" fillId="3" borderId="1" applyNumberFormat="0" applyAlignment="0" applyProtection="0"/>
    <xf numFmtId="0" fontId="3" fillId="0" borderId="0" applyNumberFormat="0" applyFill="0" applyBorder="0" applyAlignment="0" applyProtection="0"/>
    <xf numFmtId="9" fontId="23" fillId="0" borderId="0" applyFont="0" applyFill="0" applyBorder="0" applyAlignment="0" applyProtection="0"/>
    <xf numFmtId="0" fontId="24" fillId="21" borderId="0" applyNumberFormat="0" applyBorder="0" applyAlignment="0" applyProtection="0"/>
    <xf numFmtId="0" fontId="25" fillId="22" borderId="0" applyNumberFormat="0" applyBorder="0" applyAlignment="0" applyProtection="0"/>
    <xf numFmtId="0" fontId="26" fillId="23" borderId="18" applyNumberFormat="0" applyAlignment="0" applyProtection="0"/>
    <xf numFmtId="0" fontId="27" fillId="24" borderId="0" applyNumberFormat="0" applyBorder="0" applyAlignment="0" applyProtection="0"/>
  </cellStyleXfs>
  <cellXfs count="203">
    <xf numFmtId="0" fontId="0" fillId="0" borderId="0" xfId="0"/>
    <xf numFmtId="0" fontId="4" fillId="0" borderId="0" xfId="0" applyFont="1" applyAlignment="1">
      <alignment horizontal="center" vertical="center"/>
    </xf>
    <xf numFmtId="0" fontId="5" fillId="0" borderId="0" xfId="0" applyFont="1"/>
    <xf numFmtId="0" fontId="6" fillId="0" borderId="0" xfId="0" applyFont="1"/>
    <xf numFmtId="0" fontId="9" fillId="0" borderId="3" xfId="0" applyFont="1" applyBorder="1" applyAlignment="1">
      <alignment horizontal="center"/>
    </xf>
    <xf numFmtId="0" fontId="10" fillId="0" borderId="3" xfId="0" applyFont="1" applyBorder="1" applyAlignment="1">
      <alignment horizontal="center"/>
    </xf>
    <xf numFmtId="0" fontId="11" fillId="0" borderId="3" xfId="0" applyFont="1" applyBorder="1" applyAlignment="1">
      <alignment horizontal="center"/>
    </xf>
    <xf numFmtId="0" fontId="9" fillId="0" borderId="4" xfId="0" applyFont="1" applyBorder="1" applyAlignment="1">
      <alignment horizontal="center"/>
    </xf>
    <xf numFmtId="0" fontId="0" fillId="0" borderId="0" xfId="0" applyAlignment="1">
      <alignment horizontal="center" vertical="center"/>
    </xf>
    <xf numFmtId="0" fontId="13" fillId="4" borderId="3" xfId="0" applyFont="1" applyFill="1" applyBorder="1"/>
    <xf numFmtId="0" fontId="0" fillId="4" borderId="3" xfId="0" applyFill="1" applyBorder="1" applyAlignment="1">
      <alignment horizontal="center"/>
    </xf>
    <xf numFmtId="14" fontId="0" fillId="4" borderId="3" xfId="0" applyNumberFormat="1" applyFill="1" applyBorder="1" applyAlignment="1">
      <alignment horizontal="center"/>
    </xf>
    <xf numFmtId="0" fontId="0" fillId="4" borderId="3" xfId="0" applyFill="1" applyBorder="1" applyAlignment="1">
      <alignment horizontal="center" vertical="center"/>
    </xf>
    <xf numFmtId="14" fontId="0" fillId="4" borderId="3" xfId="0" applyNumberFormat="1" applyFill="1" applyBorder="1"/>
    <xf numFmtId="0" fontId="0" fillId="4" borderId="3" xfId="0" applyFill="1" applyBorder="1"/>
    <xf numFmtId="0" fontId="0" fillId="0" borderId="3" xfId="0" applyBorder="1"/>
    <xf numFmtId="14" fontId="0" fillId="0" borderId="3" xfId="0" applyNumberFormat="1" applyBorder="1" applyAlignment="1">
      <alignment horizontal="center"/>
    </xf>
    <xf numFmtId="14" fontId="0" fillId="0" borderId="3" xfId="0" applyNumberFormat="1" applyBorder="1"/>
    <xf numFmtId="0" fontId="0" fillId="0" borderId="7" xfId="0" applyBorder="1"/>
    <xf numFmtId="0" fontId="12" fillId="0" borderId="3" xfId="0" applyFont="1" applyBorder="1" applyAlignment="1">
      <alignment horizontal="center"/>
    </xf>
    <xf numFmtId="0" fontId="0" fillId="0" borderId="9" xfId="0" applyBorder="1"/>
    <xf numFmtId="0" fontId="0" fillId="0" borderId="10" xfId="0" applyBorder="1"/>
    <xf numFmtId="0" fontId="14" fillId="5" borderId="3" xfId="0" applyFont="1" applyFill="1" applyBorder="1" applyAlignment="1">
      <alignment horizontal="center" vertical="center"/>
    </xf>
    <xf numFmtId="0" fontId="4" fillId="0" borderId="3" xfId="0" applyFont="1" applyBorder="1" applyAlignment="1">
      <alignment horizontal="center" vertical="center"/>
    </xf>
    <xf numFmtId="0" fontId="6" fillId="0" borderId="3" xfId="0" applyFont="1" applyBorder="1"/>
    <xf numFmtId="0" fontId="16" fillId="0" borderId="3" xfId="0" applyFont="1" applyBorder="1" applyAlignment="1">
      <alignment horizontal="center"/>
    </xf>
    <xf numFmtId="0" fontId="4" fillId="6" borderId="3" xfId="0" applyFont="1" applyFill="1" applyBorder="1" applyAlignment="1">
      <alignment horizontal="center" vertical="center"/>
    </xf>
    <xf numFmtId="0" fontId="0" fillId="6" borderId="0" xfId="0" applyFill="1"/>
    <xf numFmtId="14" fontId="0" fillId="11" borderId="3" xfId="0" applyNumberFormat="1" applyFill="1" applyBorder="1"/>
    <xf numFmtId="0" fontId="0" fillId="0" borderId="6" xfId="0" applyBorder="1"/>
    <xf numFmtId="0" fontId="20" fillId="14" borderId="0" xfId="0" applyFont="1" applyFill="1"/>
    <xf numFmtId="0" fontId="20" fillId="15" borderId="0" xfId="0" applyFont="1" applyFill="1"/>
    <xf numFmtId="0" fontId="20" fillId="16" borderId="4" xfId="0" applyFont="1" applyFill="1" applyBorder="1"/>
    <xf numFmtId="0" fontId="20" fillId="17" borderId="0" xfId="0" applyFont="1" applyFill="1"/>
    <xf numFmtId="0" fontId="20" fillId="18" borderId="0" xfId="0" applyFont="1" applyFill="1"/>
    <xf numFmtId="0" fontId="20" fillId="0" borderId="0" xfId="0" applyFont="1"/>
    <xf numFmtId="0" fontId="20" fillId="0" borderId="3" xfId="0" applyFont="1" applyBorder="1"/>
    <xf numFmtId="0" fontId="4" fillId="0" borderId="3" xfId="0" applyFont="1" applyBorder="1" applyAlignment="1">
      <alignment horizontal="center" vertical="center" wrapText="1"/>
    </xf>
    <xf numFmtId="0" fontId="15" fillId="0" borderId="3" xfId="0" applyFont="1" applyBorder="1" applyAlignment="1">
      <alignment wrapText="1"/>
    </xf>
    <xf numFmtId="0" fontId="6" fillId="0" borderId="3" xfId="0" applyFont="1" applyBorder="1" applyAlignment="1">
      <alignment wrapText="1"/>
    </xf>
    <xf numFmtId="0" fontId="3" fillId="0" borderId="3" xfId="3" applyBorder="1" applyAlignment="1">
      <alignment horizontal="left" vertical="top" wrapText="1"/>
    </xf>
    <xf numFmtId="0" fontId="16" fillId="0" borderId="3" xfId="0" applyFont="1" applyBorder="1" applyAlignment="1">
      <alignment vertical="center" wrapText="1"/>
    </xf>
    <xf numFmtId="0" fontId="15" fillId="0" borderId="3" xfId="0" applyFont="1" applyBorder="1" applyAlignment="1">
      <alignment horizontal="center" vertical="center" wrapText="1"/>
    </xf>
    <xf numFmtId="0" fontId="7" fillId="0" borderId="3" xfId="0" applyFont="1" applyBorder="1" applyAlignment="1">
      <alignment wrapText="1"/>
    </xf>
    <xf numFmtId="0" fontId="8" fillId="0" borderId="3" xfId="0" applyFont="1" applyBorder="1" applyAlignment="1">
      <alignment wrapText="1"/>
    </xf>
    <xf numFmtId="0" fontId="7" fillId="0" borderId="3" xfId="0" applyFont="1" applyBorder="1" applyAlignment="1">
      <alignment horizontal="left" vertical="top" wrapText="1"/>
    </xf>
    <xf numFmtId="0" fontId="8" fillId="0" borderId="3" xfId="0" applyFont="1" applyBorder="1" applyAlignment="1">
      <alignment horizontal="center" vertical="center" wrapText="1"/>
    </xf>
    <xf numFmtId="0" fontId="16" fillId="0" borderId="3" xfId="0" applyFont="1" applyBorder="1" applyAlignment="1">
      <alignment horizontal="center" wrapText="1"/>
    </xf>
    <xf numFmtId="0" fontId="18" fillId="0" borderId="3" xfId="0" applyFont="1" applyBorder="1" applyAlignment="1">
      <alignment wrapText="1"/>
    </xf>
    <xf numFmtId="0" fontId="0" fillId="0" borderId="3" xfId="0" applyBorder="1" applyAlignment="1">
      <alignment wrapText="1"/>
    </xf>
    <xf numFmtId="0" fontId="3" fillId="0" borderId="3" xfId="3" applyBorder="1" applyAlignment="1">
      <alignment vertical="top" wrapText="1"/>
    </xf>
    <xf numFmtId="0" fontId="21" fillId="0" borderId="3" xfId="0" applyFont="1" applyBorder="1" applyAlignment="1">
      <alignment wrapText="1"/>
    </xf>
    <xf numFmtId="0" fontId="18" fillId="0" borderId="3" xfId="0" applyFont="1" applyBorder="1" applyAlignment="1">
      <alignment horizontal="center" vertical="center" wrapText="1"/>
    </xf>
    <xf numFmtId="0" fontId="4" fillId="6" borderId="3" xfId="0" applyFont="1" applyFill="1" applyBorder="1" applyAlignment="1">
      <alignment horizontal="center" vertical="center" wrapText="1"/>
    </xf>
    <xf numFmtId="0" fontId="8" fillId="6" borderId="3" xfId="0" applyFont="1" applyFill="1" applyBorder="1" applyAlignment="1">
      <alignment wrapText="1"/>
    </xf>
    <xf numFmtId="0" fontId="7" fillId="6" borderId="3" xfId="0" applyFont="1" applyFill="1" applyBorder="1" applyAlignment="1">
      <alignment wrapText="1"/>
    </xf>
    <xf numFmtId="0" fontId="8" fillId="6" borderId="3" xfId="0" applyFont="1" applyFill="1" applyBorder="1" applyAlignment="1">
      <alignment horizontal="center" vertical="center" wrapText="1"/>
    </xf>
    <xf numFmtId="0" fontId="6" fillId="0" borderId="3" xfId="0" applyFont="1" applyBorder="1" applyAlignment="1">
      <alignment vertical="center" wrapText="1"/>
    </xf>
    <xf numFmtId="0" fontId="17" fillId="0" borderId="3" xfId="0" applyFont="1" applyBorder="1" applyAlignment="1">
      <alignment wrapText="1"/>
    </xf>
    <xf numFmtId="14" fontId="18" fillId="0" borderId="3" xfId="0" applyNumberFormat="1" applyFont="1" applyBorder="1" applyAlignment="1">
      <alignment horizontal="right"/>
    </xf>
    <xf numFmtId="0" fontId="18" fillId="0" borderId="3" xfId="0" applyFont="1" applyBorder="1" applyAlignment="1">
      <alignment horizontal="right"/>
    </xf>
    <xf numFmtId="14" fontId="18" fillId="7" borderId="3" xfId="0" applyNumberFormat="1" applyFont="1" applyFill="1" applyBorder="1" applyAlignment="1">
      <alignment horizontal="right"/>
    </xf>
    <xf numFmtId="0" fontId="18" fillId="7" borderId="3" xfId="0" applyFont="1" applyFill="1" applyBorder="1" applyAlignment="1">
      <alignment horizontal="right"/>
    </xf>
    <xf numFmtId="0" fontId="18" fillId="8" borderId="3" xfId="0" applyFont="1" applyFill="1" applyBorder="1" applyAlignment="1">
      <alignment horizontal="right"/>
    </xf>
    <xf numFmtId="0" fontId="0" fillId="0" borderId="0" xfId="0" applyAlignment="1">
      <alignment horizontal="right"/>
    </xf>
    <xf numFmtId="0" fontId="0" fillId="19" borderId="6" xfId="0" applyFill="1" applyBorder="1"/>
    <xf numFmtId="0" fontId="13" fillId="19" borderId="7" xfId="0" applyFont="1" applyFill="1" applyBorder="1"/>
    <xf numFmtId="14" fontId="0" fillId="9" borderId="3" xfId="0" applyNumberFormat="1" applyFill="1" applyBorder="1"/>
    <xf numFmtId="14" fontId="0" fillId="0" borderId="11" xfId="0" applyNumberFormat="1" applyBorder="1"/>
    <xf numFmtId="0" fontId="13" fillId="0" borderId="7" xfId="0" applyFont="1" applyBorder="1"/>
    <xf numFmtId="0" fontId="0" fillId="0" borderId="3" xfId="0" applyBorder="1" applyAlignment="1">
      <alignment horizontal="center"/>
    </xf>
    <xf numFmtId="14" fontId="0" fillId="9" borderId="12" xfId="0" applyNumberFormat="1" applyFill="1" applyBorder="1"/>
    <xf numFmtId="0" fontId="0" fillId="20" borderId="3" xfId="0" applyFill="1" applyBorder="1"/>
    <xf numFmtId="14" fontId="0" fillId="12" borderId="3" xfId="0" applyNumberFormat="1" applyFill="1" applyBorder="1"/>
    <xf numFmtId="0" fontId="0" fillId="13" borderId="6" xfId="0" applyFill="1" applyBorder="1"/>
    <xf numFmtId="0" fontId="13" fillId="13" borderId="7" xfId="0" applyFont="1" applyFill="1" applyBorder="1"/>
    <xf numFmtId="0" fontId="4" fillId="0" borderId="6" xfId="0" applyFont="1" applyBorder="1" applyAlignment="1">
      <alignment horizontal="center" vertical="center"/>
    </xf>
    <xf numFmtId="0" fontId="4" fillId="0" borderId="6" xfId="0" applyFont="1" applyBorder="1" applyAlignment="1">
      <alignment horizontal="center" vertical="center" wrapText="1"/>
    </xf>
    <xf numFmtId="0" fontId="15" fillId="0" borderId="6" xfId="0" applyFont="1" applyBorder="1" applyAlignment="1">
      <alignment wrapText="1"/>
    </xf>
    <xf numFmtId="0" fontId="7" fillId="0" borderId="6" xfId="0" applyFont="1" applyBorder="1" applyAlignment="1">
      <alignment wrapText="1"/>
    </xf>
    <xf numFmtId="0" fontId="3" fillId="0" borderId="6" xfId="3" applyBorder="1" applyAlignment="1">
      <alignment horizontal="left" vertical="top" wrapText="1"/>
    </xf>
    <xf numFmtId="0" fontId="6" fillId="0" borderId="6" xfId="0" applyFont="1" applyBorder="1" applyAlignment="1">
      <alignment vertical="center" wrapText="1"/>
    </xf>
    <xf numFmtId="0" fontId="15" fillId="0" borderId="6" xfId="0" applyFont="1" applyBorder="1" applyAlignment="1">
      <alignment horizontal="center" vertical="center" wrapText="1"/>
    </xf>
    <xf numFmtId="0" fontId="0" fillId="0" borderId="6" xfId="0" applyBorder="1" applyAlignment="1">
      <alignment horizontal="center" vertical="center"/>
    </xf>
    <xf numFmtId="0" fontId="18" fillId="0" borderId="6" xfId="0" applyFont="1" applyBorder="1"/>
    <xf numFmtId="0" fontId="3" fillId="0" borderId="6" xfId="3" applyBorder="1"/>
    <xf numFmtId="0" fontId="19" fillId="0" borderId="6" xfId="0" applyFont="1" applyBorder="1"/>
    <xf numFmtId="0" fontId="18" fillId="0" borderId="6" xfId="0" applyFont="1" applyBorder="1" applyAlignment="1">
      <alignment horizontal="center" vertical="center"/>
    </xf>
    <xf numFmtId="0" fontId="4" fillId="0" borderId="10" xfId="0" applyFont="1" applyBorder="1" applyAlignment="1">
      <alignment horizontal="center" vertical="center"/>
    </xf>
    <xf numFmtId="0" fontId="4" fillId="0" borderId="10" xfId="0" applyFont="1" applyBorder="1" applyAlignment="1">
      <alignment horizontal="center" vertical="center" wrapText="1"/>
    </xf>
    <xf numFmtId="0" fontId="6" fillId="0" borderId="10" xfId="0" applyFont="1" applyBorder="1" applyAlignment="1">
      <alignment wrapText="1"/>
    </xf>
    <xf numFmtId="0" fontId="7" fillId="0" borderId="10" xfId="0" applyFont="1" applyBorder="1" applyAlignment="1">
      <alignment wrapText="1"/>
    </xf>
    <xf numFmtId="0" fontId="3" fillId="0" borderId="10" xfId="3" applyBorder="1" applyAlignment="1">
      <alignment horizontal="left" vertical="top" wrapText="1"/>
    </xf>
    <xf numFmtId="0" fontId="6" fillId="0" borderId="10" xfId="0" applyFont="1" applyBorder="1" applyAlignment="1">
      <alignment vertical="center" wrapText="1"/>
    </xf>
    <xf numFmtId="0" fontId="15" fillId="0" borderId="10" xfId="0" applyFont="1" applyBorder="1" applyAlignment="1">
      <alignment horizontal="center" vertical="center" wrapText="1"/>
    </xf>
    <xf numFmtId="0" fontId="0" fillId="0" borderId="13" xfId="0" applyBorder="1" applyAlignment="1">
      <alignment horizontal="center" vertical="center"/>
    </xf>
    <xf numFmtId="0" fontId="4" fillId="0" borderId="13" xfId="0" applyFont="1" applyBorder="1" applyAlignment="1">
      <alignment horizontal="center" vertical="center" wrapText="1"/>
    </xf>
    <xf numFmtId="0" fontId="15" fillId="0" borderId="13" xfId="0" applyFont="1" applyBorder="1" applyAlignment="1">
      <alignment wrapText="1"/>
    </xf>
    <xf numFmtId="0" fontId="3" fillId="0" borderId="13" xfId="3" applyBorder="1" applyAlignment="1">
      <alignment horizontal="left" vertical="top" wrapText="1"/>
    </xf>
    <xf numFmtId="0" fontId="7" fillId="0" borderId="13" xfId="0" applyFont="1" applyBorder="1" applyAlignment="1">
      <alignment wrapText="1"/>
    </xf>
    <xf numFmtId="0" fontId="8" fillId="0" borderId="13" xfId="0" applyFont="1" applyBorder="1" applyAlignment="1">
      <alignment horizontal="center" vertical="center" wrapText="1"/>
    </xf>
    <xf numFmtId="0" fontId="9" fillId="0" borderId="7" xfId="0" applyFont="1" applyBorder="1" applyAlignment="1">
      <alignment horizontal="center"/>
    </xf>
    <xf numFmtId="0" fontId="0" fillId="0" borderId="13" xfId="0" applyBorder="1"/>
    <xf numFmtId="0" fontId="13" fillId="0" borderId="9" xfId="0" applyFont="1" applyBorder="1"/>
    <xf numFmtId="14" fontId="0" fillId="0" borderId="10" xfId="0" applyNumberFormat="1" applyBorder="1"/>
    <xf numFmtId="14" fontId="0" fillId="0" borderId="10" xfId="0" applyNumberFormat="1" applyBorder="1" applyAlignment="1">
      <alignment horizontal="center"/>
    </xf>
    <xf numFmtId="0" fontId="6" fillId="0" borderId="10" xfId="0" applyFont="1" applyBorder="1"/>
    <xf numFmtId="14" fontId="0" fillId="9" borderId="10" xfId="0" applyNumberFormat="1" applyFill="1" applyBorder="1"/>
    <xf numFmtId="14" fontId="0" fillId="10" borderId="10" xfId="0" applyNumberFormat="1" applyFill="1" applyBorder="1"/>
    <xf numFmtId="14" fontId="0" fillId="12" borderId="10" xfId="0" applyNumberFormat="1" applyFill="1" applyBorder="1"/>
    <xf numFmtId="14" fontId="0" fillId="0" borderId="6" xfId="0" applyNumberFormat="1" applyBorder="1"/>
    <xf numFmtId="14" fontId="0" fillId="0" borderId="6" xfId="0" applyNumberFormat="1" applyBorder="1" applyAlignment="1">
      <alignment horizontal="center"/>
    </xf>
    <xf numFmtId="0" fontId="6" fillId="0" borderId="6" xfId="0" applyFont="1" applyBorder="1"/>
    <xf numFmtId="0" fontId="2" fillId="3" borderId="6" xfId="2" applyBorder="1" applyAlignment="1"/>
    <xf numFmtId="0" fontId="9" fillId="0" borderId="6" xfId="0" applyFont="1" applyBorder="1" applyAlignment="1">
      <alignment horizontal="center"/>
    </xf>
    <xf numFmtId="14" fontId="0" fillId="4" borderId="4" xfId="0" applyNumberFormat="1" applyFill="1" applyBorder="1"/>
    <xf numFmtId="14" fontId="0" fillId="0" borderId="4" xfId="0" applyNumberFormat="1" applyBorder="1"/>
    <xf numFmtId="14" fontId="0" fillId="0" borderId="15" xfId="0" applyNumberFormat="1" applyBorder="1"/>
    <xf numFmtId="14" fontId="0" fillId="0" borderId="14" xfId="0" applyNumberFormat="1" applyBorder="1"/>
    <xf numFmtId="0" fontId="0" fillId="0" borderId="14" xfId="0" applyBorder="1"/>
    <xf numFmtId="0" fontId="0" fillId="0" borderId="16" xfId="0" applyBorder="1"/>
    <xf numFmtId="0" fontId="0" fillId="0" borderId="17" xfId="0" applyBorder="1"/>
    <xf numFmtId="0" fontId="22" fillId="0" borderId="3" xfId="0" applyFont="1" applyBorder="1" applyAlignment="1">
      <alignment horizontal="center"/>
    </xf>
    <xf numFmtId="0" fontId="22" fillId="0" borderId="3" xfId="0" applyFont="1" applyBorder="1"/>
    <xf numFmtId="0" fontId="22" fillId="0" borderId="10" xfId="0" applyFont="1" applyBorder="1" applyAlignment="1">
      <alignment horizontal="center"/>
    </xf>
    <xf numFmtId="0" fontId="22" fillId="0" borderId="6" xfId="0" applyFont="1" applyBorder="1"/>
    <xf numFmtId="14" fontId="0" fillId="0" borderId="0" xfId="0" applyNumberFormat="1"/>
    <xf numFmtId="0" fontId="0" fillId="0" borderId="0" xfId="0" applyAlignment="1">
      <alignment wrapText="1"/>
    </xf>
    <xf numFmtId="0" fontId="27" fillId="0" borderId="0" xfId="8" applyFill="1" applyBorder="1" applyAlignment="1"/>
    <xf numFmtId="0" fontId="5" fillId="26" borderId="0" xfId="0" applyFont="1" applyFill="1"/>
    <xf numFmtId="0" fontId="0" fillId="0" borderId="6" xfId="0" applyBorder="1" applyAlignment="1">
      <alignment horizontal="center" vertical="center" wrapText="1"/>
    </xf>
    <xf numFmtId="0" fontId="0" fillId="0" borderId="6" xfId="0" applyBorder="1" applyAlignment="1">
      <alignment horizontal="center" wrapText="1"/>
    </xf>
    <xf numFmtId="0" fontId="0" fillId="0" borderId="6" xfId="0" applyBorder="1" applyAlignment="1">
      <alignment horizontal="center"/>
    </xf>
    <xf numFmtId="0" fontId="29" fillId="0" borderId="0" xfId="0" applyFont="1"/>
    <xf numFmtId="0" fontId="9" fillId="0" borderId="0" xfId="0" applyFont="1" applyAlignment="1">
      <alignment horizontal="center" vertical="center" textRotation="45"/>
    </xf>
    <xf numFmtId="0" fontId="9" fillId="0" borderId="0" xfId="0" applyFont="1"/>
    <xf numFmtId="0" fontId="30" fillId="0" borderId="0" xfId="0" applyFont="1" applyAlignment="1">
      <alignment horizontal="center" vertical="center" textRotation="45"/>
    </xf>
    <xf numFmtId="0" fontId="20" fillId="27" borderId="6" xfId="5" applyFont="1" applyFill="1" applyBorder="1"/>
    <xf numFmtId="0" fontId="0" fillId="0" borderId="4" xfId="0" applyBorder="1" applyAlignment="1">
      <alignment horizontal="center"/>
    </xf>
    <xf numFmtId="0" fontId="27" fillId="0" borderId="3" xfId="8" applyFill="1" applyBorder="1" applyAlignment="1">
      <alignment horizontal="center"/>
    </xf>
    <xf numFmtId="14" fontId="4" fillId="0" borderId="3" xfId="0" applyNumberFormat="1" applyFont="1" applyBorder="1" applyAlignment="1">
      <alignment horizontal="center" wrapText="1"/>
    </xf>
    <xf numFmtId="14" fontId="4" fillId="0" borderId="3" xfId="0" applyNumberFormat="1" applyFont="1" applyBorder="1" applyAlignment="1">
      <alignment horizontal="center"/>
    </xf>
    <xf numFmtId="0" fontId="20" fillId="27" borderId="6" xfId="1" applyFont="1" applyFill="1" applyBorder="1"/>
    <xf numFmtId="14" fontId="6" fillId="0" borderId="3" xfId="1" applyNumberFormat="1" applyFont="1" applyFill="1" applyBorder="1" applyAlignment="1">
      <alignment horizontal="center"/>
    </xf>
    <xf numFmtId="0" fontId="4" fillId="0" borderId="3" xfId="0" applyFont="1" applyBorder="1" applyAlignment="1">
      <alignment horizontal="center" wrapText="1"/>
    </xf>
    <xf numFmtId="0" fontId="4" fillId="0" borderId="3" xfId="0" applyFont="1" applyBorder="1" applyAlignment="1">
      <alignment horizontal="center"/>
    </xf>
    <xf numFmtId="0" fontId="31" fillId="27" borderId="18" xfId="7" applyFont="1" applyFill="1"/>
    <xf numFmtId="0" fontId="20" fillId="27" borderId="3" xfId="0" applyFont="1" applyFill="1" applyBorder="1" applyAlignment="1">
      <alignment vertical="center"/>
    </xf>
    <xf numFmtId="0" fontId="20" fillId="27" borderId="20" xfId="0" applyFont="1" applyFill="1" applyBorder="1" applyAlignment="1">
      <alignment vertical="center"/>
    </xf>
    <xf numFmtId="14" fontId="32" fillId="0" borderId="3" xfId="0" applyNumberFormat="1" applyFont="1" applyBorder="1" applyAlignment="1">
      <alignment horizontal="center"/>
    </xf>
    <xf numFmtId="0" fontId="33" fillId="27" borderId="3" xfId="0" applyFont="1" applyFill="1" applyBorder="1"/>
    <xf numFmtId="0" fontId="34" fillId="0" borderId="0" xfId="0" quotePrefix="1" applyFont="1" applyAlignment="1">
      <alignment wrapText="1"/>
    </xf>
    <xf numFmtId="14" fontId="35" fillId="0" borderId="0" xfId="0" quotePrefix="1" applyNumberFormat="1" applyFont="1"/>
    <xf numFmtId="14" fontId="36" fillId="0" borderId="0" xfId="0" quotePrefix="1" applyNumberFormat="1" applyFont="1"/>
    <xf numFmtId="0" fontId="37" fillId="0" borderId="0" xfId="0" applyFont="1"/>
    <xf numFmtId="0" fontId="36" fillId="0" borderId="0" xfId="0" quotePrefix="1" applyFont="1"/>
    <xf numFmtId="0" fontId="14" fillId="5" borderId="12" xfId="0" applyFont="1" applyFill="1" applyBorder="1" applyAlignment="1">
      <alignment horizontal="center" vertical="center"/>
    </xf>
    <xf numFmtId="0" fontId="25" fillId="22" borderId="0" xfId="6" applyAlignment="1">
      <alignment horizontal="center"/>
    </xf>
    <xf numFmtId="0" fontId="1" fillId="2" borderId="0" xfId="1" applyBorder="1" applyAlignment="1">
      <alignment horizontal="center"/>
    </xf>
    <xf numFmtId="0" fontId="24" fillId="21" borderId="0" xfId="5" applyBorder="1" applyAlignment="1">
      <alignment horizontal="center"/>
    </xf>
    <xf numFmtId="0" fontId="0" fillId="30" borderId="0" xfId="0" applyFill="1"/>
    <xf numFmtId="0" fontId="0" fillId="28" borderId="0" xfId="0" applyFill="1"/>
    <xf numFmtId="0" fontId="39" fillId="0" borderId="0" xfId="0" applyFont="1"/>
    <xf numFmtId="0" fontId="39" fillId="0" borderId="0" xfId="0" applyFont="1" applyAlignment="1">
      <alignment horizontal="center" vertical="center"/>
    </xf>
    <xf numFmtId="0" fontId="2" fillId="0" borderId="0" xfId="0" applyFont="1" applyAlignment="1">
      <alignment horizontal="center" vertical="center"/>
    </xf>
    <xf numFmtId="0" fontId="15" fillId="0" borderId="3" xfId="0" applyFont="1" applyBorder="1" applyAlignment="1">
      <alignment horizontal="left" vertical="top" wrapText="1"/>
    </xf>
    <xf numFmtId="0" fontId="7" fillId="6" borderId="3" xfId="0" applyFont="1" applyFill="1" applyBorder="1" applyAlignment="1">
      <alignment horizontal="left" vertical="top" wrapText="1"/>
    </xf>
    <xf numFmtId="9" fontId="1" fillId="28" borderId="7" xfId="4" applyFont="1" applyFill="1" applyBorder="1" applyAlignment="1">
      <alignment horizontal="center"/>
    </xf>
    <xf numFmtId="0" fontId="18" fillId="0" borderId="6" xfId="0" applyFont="1" applyBorder="1" applyAlignment="1">
      <alignment wrapText="1"/>
    </xf>
    <xf numFmtId="0" fontId="3" fillId="0" borderId="6" xfId="3" applyFill="1" applyBorder="1" applyAlignment="1"/>
    <xf numFmtId="0" fontId="0" fillId="0" borderId="14" xfId="0" applyBorder="1" applyAlignment="1">
      <alignment horizontal="center" vertical="center"/>
    </xf>
    <xf numFmtId="0" fontId="0" fillId="0" borderId="21" xfId="0" applyBorder="1"/>
    <xf numFmtId="0" fontId="0" fillId="10" borderId="0" xfId="0" applyFill="1"/>
    <xf numFmtId="0" fontId="20" fillId="0" borderId="3" xfId="0" applyFont="1" applyBorder="1" applyAlignment="1">
      <alignment horizontal="left"/>
    </xf>
    <xf numFmtId="0" fontId="20" fillId="0" borderId="3" xfId="0" applyFont="1" applyBorder="1" applyAlignment="1">
      <alignment horizontal="left" wrapText="1"/>
    </xf>
    <xf numFmtId="0" fontId="0" fillId="0" borderId="0" xfId="0" applyAlignment="1">
      <alignment horizontal="center"/>
    </xf>
    <xf numFmtId="0" fontId="8" fillId="0" borderId="6" xfId="0" applyFont="1" applyBorder="1" applyAlignment="1">
      <alignment horizontal="center"/>
    </xf>
    <xf numFmtId="0" fontId="8" fillId="0" borderId="14" xfId="0" applyFont="1" applyBorder="1" applyAlignment="1">
      <alignment horizontal="center"/>
    </xf>
    <xf numFmtId="0" fontId="5" fillId="0" borderId="2" xfId="0" applyFont="1" applyBorder="1" applyAlignment="1">
      <alignment horizontal="center"/>
    </xf>
    <xf numFmtId="0" fontId="7" fillId="0" borderId="6" xfId="0" applyFont="1" applyBorder="1" applyAlignment="1">
      <alignment horizontal="center"/>
    </xf>
    <xf numFmtId="0" fontId="38" fillId="29" borderId="0" xfId="0" applyFont="1" applyFill="1" applyAlignment="1">
      <alignment horizontal="center"/>
    </xf>
    <xf numFmtId="0" fontId="12" fillId="0" borderId="4" xfId="0" applyFont="1" applyBorder="1" applyAlignment="1">
      <alignment horizontal="center"/>
    </xf>
    <xf numFmtId="0" fontId="12" fillId="0" borderId="7" xfId="0" applyFont="1" applyBorder="1" applyAlignment="1">
      <alignment horizontal="center"/>
    </xf>
    <xf numFmtId="0" fontId="5" fillId="0" borderId="0" xfId="0" applyFont="1" applyAlignment="1">
      <alignment horizontal="center"/>
    </xf>
    <xf numFmtId="0" fontId="6" fillId="0" borderId="3" xfId="0" applyFont="1" applyBorder="1" applyAlignment="1">
      <alignment horizontal="center"/>
    </xf>
    <xf numFmtId="0" fontId="6" fillId="0" borderId="4" xfId="0" applyFont="1" applyBorder="1" applyAlignment="1">
      <alignment horizontal="center"/>
    </xf>
    <xf numFmtId="0" fontId="6" fillId="0" borderId="5" xfId="0" applyFont="1" applyBorder="1" applyAlignment="1">
      <alignment horizontal="center"/>
    </xf>
    <xf numFmtId="0" fontId="6" fillId="0" borderId="6" xfId="0" applyFont="1" applyBorder="1" applyAlignment="1">
      <alignment horizontal="center"/>
    </xf>
    <xf numFmtId="0" fontId="20" fillId="0" borderId="0" xfId="0" applyFont="1" applyAlignment="1">
      <alignment horizontal="center"/>
    </xf>
    <xf numFmtId="0" fontId="9" fillId="0" borderId="4" xfId="0" applyFont="1" applyBorder="1" applyAlignment="1">
      <alignment horizontal="center"/>
    </xf>
    <xf numFmtId="0" fontId="9" fillId="0" borderId="7" xfId="0" applyFont="1" applyBorder="1" applyAlignment="1">
      <alignment horizontal="center"/>
    </xf>
    <xf numFmtId="0" fontId="1" fillId="2" borderId="6" xfId="1" applyBorder="1" applyAlignment="1">
      <alignment horizontal="center"/>
    </xf>
    <xf numFmtId="0" fontId="9" fillId="0" borderId="8" xfId="0" applyFont="1" applyBorder="1" applyAlignment="1">
      <alignment horizontal="center"/>
    </xf>
    <xf numFmtId="0" fontId="9" fillId="0" borderId="0" xfId="0" applyFont="1" applyAlignment="1">
      <alignment horizontal="center"/>
    </xf>
    <xf numFmtId="0" fontId="12" fillId="0" borderId="8" xfId="0" applyFont="1" applyBorder="1" applyAlignment="1">
      <alignment horizontal="center"/>
    </xf>
    <xf numFmtId="0" fontId="40" fillId="31" borderId="0" xfId="0" applyFont="1" applyFill="1" applyAlignment="1">
      <alignment horizontal="center"/>
    </xf>
    <xf numFmtId="0" fontId="5" fillId="25" borderId="0" xfId="0" applyFont="1" applyFill="1" applyAlignment="1">
      <alignment horizontal="center" wrapText="1"/>
    </xf>
    <xf numFmtId="0" fontId="28" fillId="0" borderId="0" xfId="0" applyFont="1" applyAlignment="1">
      <alignment horizontal="center" vertical="center" textRotation="45" wrapText="1"/>
    </xf>
    <xf numFmtId="0" fontId="28" fillId="0" borderId="19" xfId="0" applyFont="1" applyBorder="1" applyAlignment="1">
      <alignment horizontal="center" vertical="center" textRotation="45" wrapText="1"/>
    </xf>
    <xf numFmtId="0" fontId="28" fillId="0" borderId="0" xfId="0" applyFont="1" applyAlignment="1">
      <alignment horizontal="center" vertical="center" textRotation="45"/>
    </xf>
    <xf numFmtId="0" fontId="28" fillId="0" borderId="19" xfId="0" applyFont="1" applyBorder="1" applyAlignment="1">
      <alignment horizontal="center" vertical="center" textRotation="45"/>
    </xf>
    <xf numFmtId="14" fontId="0" fillId="0" borderId="13" xfId="0" applyNumberFormat="1" applyBorder="1"/>
    <xf numFmtId="0" fontId="0" fillId="0" borderId="13" xfId="0" applyFont="1" applyBorder="1"/>
  </cellXfs>
  <cellStyles count="9">
    <cellStyle name="Accent1" xfId="8" builtinId="29"/>
    <cellStyle name="Bad" xfId="6" builtinId="27"/>
    <cellStyle name="Calculation" xfId="7" builtinId="22"/>
    <cellStyle name="Check Cell" xfId="2" builtinId="23"/>
    <cellStyle name="Good" xfId="5" builtinId="26"/>
    <cellStyle name="Hyperlink" xfId="3" builtinId="8"/>
    <cellStyle name="Neutral" xfId="1" builtinId="28"/>
    <cellStyle name="Normal" xfId="0" builtinId="0"/>
    <cellStyle name="Percent" xfId="4" builtinId="5"/>
  </cellStyles>
  <dxfs count="55">
    <dxf>
      <font>
        <color rgb="FF00B050"/>
      </font>
      <fill>
        <patternFill>
          <bgColor theme="3" tint="0.79998168889431442"/>
        </patternFill>
      </fill>
    </dxf>
    <dxf>
      <fill>
        <patternFill>
          <bgColor theme="3" tint="0.79998168889431442"/>
        </patternFill>
      </fill>
    </dxf>
    <dxf>
      <fill>
        <patternFill>
          <bgColor theme="3" tint="0.79998168889431442"/>
        </patternFill>
      </fill>
    </dxf>
    <dxf>
      <numFmt numFmtId="0" formatCode="General"/>
      <alignment textRotation="0" wrapText="0" indent="0" justifyLastLine="0" shrinkToFit="0" readingOrder="0"/>
    </dxf>
    <dxf>
      <alignment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Calibri"/>
        <family val="2"/>
        <scheme val="minor"/>
      </font>
      <alignment horizontal="general" vertical="center" textRotation="0" wrapText="0" indent="0" justifyLastLine="0" shrinkToFit="0" readingOrder="0"/>
      <border diagonalUp="0" diagonalDown="0" outline="0">
        <left style="thin">
          <color indexed="64"/>
        </left>
        <right style="thin">
          <color indexed="64"/>
        </right>
        <top style="medium">
          <color indexed="64"/>
        </top>
        <bottom/>
      </border>
    </dxf>
    <dxf>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000000"/>
        <name val="Calibri"/>
        <family val="2"/>
        <scheme val="none"/>
      </font>
      <alignment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bottom style="thin">
          <color indexed="64"/>
        </bottom>
      </border>
    </dxf>
    <dxf>
      <border outline="0">
        <top style="thin">
          <color indexed="64"/>
        </top>
      </border>
    </dxf>
    <dxf>
      <alignment textRotation="0" wrapText="0" indent="0" justifyLastLine="0" shrinkToFit="0" readingOrder="0"/>
    </dxf>
    <dxf>
      <alignment textRotation="0" wrapText="0" indent="0" justifyLastLine="0" shrinkToFit="0" readingOrder="0"/>
    </dxf>
    <dxf>
      <font>
        <b/>
        <i val="0"/>
        <strike val="0"/>
        <condense val="0"/>
        <extend val="0"/>
        <outline val="0"/>
        <shadow val="0"/>
        <u val="none"/>
        <vertAlign val="baseline"/>
        <sz val="18"/>
        <color theme="0"/>
        <name val="Calibri"/>
        <family val="2"/>
        <scheme val="none"/>
      </font>
      <fill>
        <patternFill patternType="solid">
          <fgColor indexed="64"/>
          <bgColor theme="8"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ont>
        <color rgb="FFFFFFFF"/>
      </font>
    </dxf>
    <dxf>
      <font>
        <color rgb="FFFFFFFF"/>
      </font>
    </dxf>
    <dxf>
      <font>
        <color rgb="FFFFFFFF"/>
      </font>
    </dxf>
    <dxf>
      <font>
        <color auto="1"/>
      </font>
      <fill>
        <patternFill>
          <bgColor theme="0"/>
        </patternFill>
      </fill>
    </dxf>
    <dxf>
      <font>
        <color rgb="FFFFFFFF"/>
      </font>
      <fill>
        <patternFill patternType="solid">
          <bgColor rgb="FFFFFFFF"/>
        </patternFill>
      </fill>
    </dxf>
    <dxf>
      <font>
        <color rgb="FFFFFFFF"/>
      </font>
    </dxf>
    <dxf>
      <font>
        <color rgb="FFFFFFFF"/>
      </font>
    </dxf>
    <dxf>
      <font>
        <color auto="1"/>
      </font>
      <fill>
        <patternFill>
          <bgColor theme="0"/>
        </patternFill>
      </fill>
    </dxf>
    <dxf>
      <font>
        <color rgb="FF00B050"/>
      </font>
      <fill>
        <patternFill>
          <bgColor theme="3" tint="0.79998168889431442"/>
        </patternFill>
      </fill>
    </dxf>
    <dxf>
      <fill>
        <patternFill>
          <bgColor theme="3" tint="0.79998168889431442"/>
        </patternFill>
      </fill>
    </dxf>
    <dxf>
      <fill>
        <patternFill>
          <bgColor theme="3" tint="0.79998168889431442"/>
        </patternFill>
      </fill>
    </dxf>
    <dxf>
      <font>
        <color auto="1"/>
      </font>
      <fill>
        <patternFill>
          <bgColor theme="0"/>
        </patternFill>
      </fill>
    </dxf>
    <dxf>
      <font>
        <color rgb="FF00B050"/>
      </font>
      <fill>
        <patternFill>
          <bgColor theme="3" tint="0.79998168889431442"/>
        </patternFill>
      </fill>
    </dxf>
  </dxfs>
  <tableStyles count="1" defaultTableStyle="TableStyleMedium2" defaultPivotStyle="PivotStyleMedium9">
    <tableStyle name="Invisible" pivot="0" table="0" count="0" xr9:uid="{6EE737DD-2D63-4749-BEE6-B1D58653027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17/10/relationships/person" Target="persons/perso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28575</xdr:colOff>
      <xdr:row>0</xdr:row>
      <xdr:rowOff>95250</xdr:rowOff>
    </xdr:from>
    <xdr:to>
      <xdr:col>2</xdr:col>
      <xdr:colOff>352425</xdr:colOff>
      <xdr:row>2</xdr:row>
      <xdr:rowOff>38100</xdr:rowOff>
    </xdr:to>
    <xdr:pic>
      <xdr:nvPicPr>
        <xdr:cNvPr id="2" name="Picture 1">
          <a:extLst>
            <a:ext uri="{FF2B5EF4-FFF2-40B4-BE49-F238E27FC236}">
              <a16:creationId xmlns:a16="http://schemas.microsoft.com/office/drawing/2014/main" id="{D505F133-CADB-4771-BF40-DF029A5F92B1}"/>
            </a:ext>
            <a:ext uri="{147F2762-F138-4A5C-976F-8EAC2B608ADB}">
              <a16:predDERef xmlns:a16="http://schemas.microsoft.com/office/drawing/2014/main" pred="{00000000-0008-0000-0700-00002C3C0000}"/>
            </a:ext>
          </a:extLst>
        </xdr:cNvPr>
        <xdr:cNvPicPr>
          <a:picLocks noChangeAspect="1"/>
        </xdr:cNvPicPr>
      </xdr:nvPicPr>
      <xdr:blipFill>
        <a:blip xmlns:r="http://schemas.openxmlformats.org/officeDocument/2006/relationships" r:embed="rId1"/>
        <a:stretch>
          <a:fillRect/>
        </a:stretch>
      </xdr:blipFill>
      <xdr:spPr>
        <a:xfrm>
          <a:off x="28575" y="95250"/>
          <a:ext cx="1504950" cy="3238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28575</xdr:colOff>
      <xdr:row>0</xdr:row>
      <xdr:rowOff>95250</xdr:rowOff>
    </xdr:from>
    <xdr:to>
      <xdr:col>1</xdr:col>
      <xdr:colOff>1047750</xdr:colOff>
      <xdr:row>2</xdr:row>
      <xdr:rowOff>38100</xdr:rowOff>
    </xdr:to>
    <xdr:pic>
      <xdr:nvPicPr>
        <xdr:cNvPr id="2" name="Picture 1">
          <a:extLst>
            <a:ext uri="{FF2B5EF4-FFF2-40B4-BE49-F238E27FC236}">
              <a16:creationId xmlns:a16="http://schemas.microsoft.com/office/drawing/2014/main" id="{059FFF57-8EFB-4C6E-BDF1-D08521B05724}"/>
            </a:ext>
            <a:ext uri="{147F2762-F138-4A5C-976F-8EAC2B608ADB}">
              <a16:predDERef xmlns:a16="http://schemas.microsoft.com/office/drawing/2014/main" pred="{00000000-0008-0000-0700-00002C3C0000}"/>
            </a:ext>
          </a:extLst>
        </xdr:cNvPr>
        <xdr:cNvPicPr>
          <a:picLocks noChangeAspect="1"/>
        </xdr:cNvPicPr>
      </xdr:nvPicPr>
      <xdr:blipFill>
        <a:blip xmlns:r="http://schemas.openxmlformats.org/officeDocument/2006/relationships" r:embed="rId1"/>
        <a:stretch>
          <a:fillRect/>
        </a:stretch>
      </xdr:blipFill>
      <xdr:spPr>
        <a:xfrm>
          <a:off x="28575" y="95250"/>
          <a:ext cx="1504950" cy="3238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53975</xdr:colOff>
      <xdr:row>1</xdr:row>
      <xdr:rowOff>19050</xdr:rowOff>
    </xdr:from>
    <xdr:to>
      <xdr:col>2</xdr:col>
      <xdr:colOff>406400</xdr:colOff>
      <xdr:row>2</xdr:row>
      <xdr:rowOff>152400</xdr:rowOff>
    </xdr:to>
    <xdr:pic>
      <xdr:nvPicPr>
        <xdr:cNvPr id="2" name="Picture 1">
          <a:extLst>
            <a:ext uri="{FF2B5EF4-FFF2-40B4-BE49-F238E27FC236}">
              <a16:creationId xmlns:a16="http://schemas.microsoft.com/office/drawing/2014/main" id="{81500C18-C7F3-4830-92F2-DC170E973932}"/>
            </a:ext>
            <a:ext uri="{147F2762-F138-4A5C-976F-8EAC2B608ADB}">
              <a16:predDERef xmlns:a16="http://schemas.microsoft.com/office/drawing/2014/main" pred="{00000000-0008-0000-0700-00002C3C0000}"/>
            </a:ext>
          </a:extLst>
        </xdr:cNvPr>
        <xdr:cNvPicPr>
          <a:picLocks noChangeAspect="1"/>
        </xdr:cNvPicPr>
      </xdr:nvPicPr>
      <xdr:blipFill>
        <a:blip xmlns:r="http://schemas.openxmlformats.org/officeDocument/2006/relationships" r:embed="rId1"/>
        <a:stretch>
          <a:fillRect/>
        </a:stretch>
      </xdr:blipFill>
      <xdr:spPr>
        <a:xfrm>
          <a:off x="53975" y="209550"/>
          <a:ext cx="1571625" cy="3238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28575</xdr:colOff>
      <xdr:row>0</xdr:row>
      <xdr:rowOff>95250</xdr:rowOff>
    </xdr:from>
    <xdr:to>
      <xdr:col>1</xdr:col>
      <xdr:colOff>1381125</xdr:colOff>
      <xdr:row>2</xdr:row>
      <xdr:rowOff>38100</xdr:rowOff>
    </xdr:to>
    <xdr:pic>
      <xdr:nvPicPr>
        <xdr:cNvPr id="2" name="Picture 1">
          <a:extLst>
            <a:ext uri="{FF2B5EF4-FFF2-40B4-BE49-F238E27FC236}">
              <a16:creationId xmlns:a16="http://schemas.microsoft.com/office/drawing/2014/main" id="{92780451-B1F3-4065-83D7-BA167F751136}"/>
            </a:ext>
            <a:ext uri="{147F2762-F138-4A5C-976F-8EAC2B608ADB}">
              <a16:predDERef xmlns:a16="http://schemas.microsoft.com/office/drawing/2014/main" pred="{00000000-0008-0000-0700-00002C3C0000}"/>
            </a:ext>
          </a:extLst>
        </xdr:cNvPr>
        <xdr:cNvPicPr>
          <a:picLocks noChangeAspect="1"/>
        </xdr:cNvPicPr>
      </xdr:nvPicPr>
      <xdr:blipFill>
        <a:blip xmlns:r="http://schemas.openxmlformats.org/officeDocument/2006/relationships" r:embed="rId1"/>
        <a:stretch>
          <a:fillRect/>
        </a:stretch>
      </xdr:blipFill>
      <xdr:spPr>
        <a:xfrm>
          <a:off x="28575" y="95250"/>
          <a:ext cx="1504950" cy="3238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28575</xdr:colOff>
      <xdr:row>0</xdr:row>
      <xdr:rowOff>95250</xdr:rowOff>
    </xdr:from>
    <xdr:to>
      <xdr:col>1</xdr:col>
      <xdr:colOff>409575</xdr:colOff>
      <xdr:row>2</xdr:row>
      <xdr:rowOff>38100</xdr:rowOff>
    </xdr:to>
    <xdr:pic>
      <xdr:nvPicPr>
        <xdr:cNvPr id="2" name="Picture 1">
          <a:extLst>
            <a:ext uri="{FF2B5EF4-FFF2-40B4-BE49-F238E27FC236}">
              <a16:creationId xmlns:a16="http://schemas.microsoft.com/office/drawing/2014/main" id="{FB4F725D-9CE0-4C9D-A566-017FE7DB2FF2}"/>
            </a:ext>
            <a:ext uri="{147F2762-F138-4A5C-976F-8EAC2B608ADB}">
              <a16:predDERef xmlns:a16="http://schemas.microsoft.com/office/drawing/2014/main" pred="{00000000-0008-0000-0700-00002C3C0000}"/>
            </a:ext>
          </a:extLst>
        </xdr:cNvPr>
        <xdr:cNvPicPr>
          <a:picLocks noChangeAspect="1"/>
        </xdr:cNvPicPr>
      </xdr:nvPicPr>
      <xdr:blipFill>
        <a:blip xmlns:r="http://schemas.openxmlformats.org/officeDocument/2006/relationships" r:embed="rId1"/>
        <a:stretch>
          <a:fillRect/>
        </a:stretch>
      </xdr:blipFill>
      <xdr:spPr>
        <a:xfrm>
          <a:off x="28575" y="95250"/>
          <a:ext cx="1504950" cy="32385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amedeloitte.sharepoint.com/sites/Java312-Java-Pay-Pal-Admin/Shared%20Documents/Java-Backend-Admin/Java-BackEnd%20-FrontEnd.xlsx" TargetMode="External"/><Relationship Id="rId1" Type="http://schemas.openxmlformats.org/officeDocument/2006/relationships/externalLinkPath" Target="/sites/Java312-Java-Pay-Pal-Admin/Shared%20Documents/Java-Backend-Admin/Java-BackEnd%20-FrontEn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jVahNQGtpUaC-3DEf7sw-um5nxHsQC5HiIZXOS9V6DUEDkI8iRtGQIlKGvtENgeo" itemId="01L5RCQRIZOMFY2ER7WBEJUDGMAVVKNSX7">
      <xxl21:absoluteUrl r:id="rId2"/>
    </xxl21:alternateUrls>
    <sheetNames>
      <sheetName val="Task"/>
      <sheetName val="Leo-Leiva"/>
      <sheetName val="1.Track-Course-Deloitte"/>
      <sheetName val="2.Track-Course-Process"/>
      <sheetName val="Criterials-Java"/>
      <sheetName val="information-Java"/>
      <sheetName val="Tracking-Java-Resumen"/>
      <sheetName val="Track-Java-Daily"/>
      <sheetName val="Criterials-React"/>
      <sheetName val="information-React"/>
      <sheetName val="Tack-React"/>
      <sheetName val="Traking-React-Daily"/>
      <sheetName val="Criterials-Node"/>
      <sheetName val="information-Node"/>
      <sheetName val="Tack-Node"/>
      <sheetName val="Tracking-Node-Daily"/>
      <sheetName val="Map-process"/>
      <sheetName val="imagen"/>
      <sheetName val="MCD"/>
      <sheetName val="Time-Process"/>
      <sheetName val="&lt;track&gt; (2)"/>
      <sheetName val="&lt;track&gt;"/>
      <sheetName val="catalogs"/>
      <sheetName val="Time X"/>
      <sheetName val="Sheet4"/>
      <sheetName val="Analitycs time-Java"/>
      <sheetName val="Leo-L"/>
      <sheetName val="Sheet2"/>
      <sheetName val="Tracking-Java-Resumen -2"/>
      <sheetName val="1.Content-Course-Deloitte (2)"/>
    </sheetNames>
    <sheetDataSet>
      <sheetData sheetId="0"/>
      <sheetData sheetId="1"/>
      <sheetData sheetId="2"/>
      <sheetData sheetId="3"/>
      <sheetData sheetId="4"/>
      <sheetData sheetId="5">
        <row r="7">
          <cell r="A7" t="str">
            <v>Name</v>
          </cell>
          <cell r="B7" t="str">
            <v>Income Date</v>
          </cell>
        </row>
        <row r="8">
          <cell r="A8" t="str">
            <v>GALLO VALENZUELA, DIEGO FERNANDO</v>
          </cell>
          <cell r="B8">
            <v>44893</v>
          </cell>
          <cell r="D8" t="str">
            <v>JR</v>
          </cell>
        </row>
        <row r="9">
          <cell r="A9" t="str">
            <v>TOLEDO MEGCHUN, ANDRES</v>
          </cell>
          <cell r="B9">
            <v>44900</v>
          </cell>
        </row>
        <row r="10">
          <cell r="A10" t="str">
            <v>RICO CAMACHO, JORGE ALBERTO</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persons/person.xml><?xml version="1.0" encoding="utf-8"?>
<personList xmlns="http://schemas.microsoft.com/office/spreadsheetml/2018/threadedcomments" xmlns:x="http://schemas.openxmlformats.org/spreadsheetml/2006/main">
  <person displayName="Zamora Moreno, Jose Omar" id="{44662ABC-2BF0-4CF3-B20D-5A8F0AEFBFEA}" userId="S::jzamoramoreno@deloitte.com::acff1a64-ad03-4b66-b03d-2fb89c1074f7"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3FF97-494E-4CDD-958C-8C28C55FDEBB}" name="Table134" displayName="Table134" ref="B8:M43" totalsRowShown="0" headerRowDxfId="20" dataDxfId="19" totalsRowDxfId="18" headerRowBorderDxfId="16" tableBorderDxfId="17">
  <autoFilter ref="B8:M43" xr:uid="{EB63FF97-494E-4CDD-958C-8C28C55FDEBB}"/>
  <tableColumns count="12">
    <tableColumn id="6" xr3:uid="{C192D293-681A-4580-B220-42716A1E9386}" name="Fast" dataDxfId="15"/>
    <tableColumn id="12" xr3:uid="{C3F96E8A-84BC-45DD-BE22-7ECCA5E379FB}" name="JR" dataDxfId="14"/>
    <tableColumn id="7" xr3:uid="{70C4E618-19E7-4389-8B19-529D621A7AAC}" name="INT" dataDxfId="13"/>
    <tableColumn id="8" xr3:uid="{212C2859-4CD2-4C1D-87C0-936DEEC41614}" name="SR" dataDxfId="12"/>
    <tableColumn id="9" xr3:uid="{35774DA0-4991-4F57-A2D2-E239ED6954B6}" name="TL" dataDxfId="11"/>
    <tableColumn id="10" xr3:uid="{E00BC321-A7F6-4117-B46E-1A8A059DC9FE}" name="Steps" dataDxfId="10"/>
    <tableColumn id="1" xr3:uid="{2AB630F0-A3D2-4C03-96CF-E0C45E095543}" name="Topic" dataDxfId="9"/>
    <tableColumn id="2" xr3:uid="{F437FAC1-E8DE-45C7-93F5-157D20589BC6}" name="Name material" dataDxfId="8"/>
    <tableColumn id="3" xr3:uid="{8898C1F6-8789-4409-B268-4D9EE36628C3}" name="Link" dataDxfId="7" dataCellStyle="Hyperlink"/>
    <tableColumn id="4" xr3:uid="{BF09F691-F5B4-4E03-A41B-3E8B915FC4BC}" name="Comments" dataDxfId="6"/>
    <tableColumn id="5" xr3:uid="{F5B8D86F-1CCA-4D4F-A4F7-43D2AE6B5819}" name="Time /hrs" dataDxfId="5"/>
    <tableColumn id="11" xr3:uid="{587310DD-8C80-4A68-8239-687CDEA9065B}" name="Column1" dataDxfId="3" totalsRowDxfId="4">
      <calculatedColumnFormula>Table134[[#This Row],[Time /hrs]]/8</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I20" dT="2023-03-07T19:31:07.16" personId="{44662ABC-2BF0-4CF3-B20D-5A8F0AEFBFEA}" id="{467E5A0C-0C3A-4CD2-8AD3-B798B168D98E}">
    <text>Corte 13 dias de diferencia entre lo estimado y lo tomado</text>
  </threadedComment>
  <threadedComment ref="AK20" dT="2023-03-07T19:31:23.86" personId="{44662ABC-2BF0-4CF3-B20D-5A8F0AEFBFEA}" id="{3FE292CD-081B-47B8-A10C-802F5135C46D}">
    <text>14 dias de vacaciones</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linkedin.com/learning/microservices-design-patterns/solving-microservices-problems-with-patterns?autoplay=true&amp;u=1504" TargetMode="External"/><Relationship Id="rId13" Type="http://schemas.openxmlformats.org/officeDocument/2006/relationships/hyperlink" Target="https://deloittedevelopment.udemy.com/course/from-0-to-1-the-cassandra-distributed-database/" TargetMode="External"/><Relationship Id="rId18" Type="http://schemas.openxmlformats.org/officeDocument/2006/relationships/hyperlink" Target="https://deloittedevelopment.udemy.com/labs/build-an-online-store-with-spring-boot-spring-web-and-java/overview/" TargetMode="External"/><Relationship Id="rId26" Type="http://schemas.openxmlformats.org/officeDocument/2006/relationships/hyperlink" Target="https://deloittedevelopment.udemy.com/course/splunk-beginner-to-architect/" TargetMode="External"/><Relationship Id="rId3" Type="http://schemas.openxmlformats.org/officeDocument/2006/relationships/hyperlink" Target="https://deloittedevelopment.udemy.com/course/spring-interview-questions-and-answers/" TargetMode="External"/><Relationship Id="rId21" Type="http://schemas.openxmlformats.org/officeDocument/2006/relationships/hyperlink" Target="Final%20Project" TargetMode="External"/><Relationship Id="rId7" Type="http://schemas.openxmlformats.org/officeDocument/2006/relationships/hyperlink" Target="https://deloittedevelopment.udemy.com/course/apache-kafka-with-java-spring-boot-theory-hands-on-coding/" TargetMode="External"/><Relationship Id="rId12" Type="http://schemas.openxmlformats.org/officeDocument/2006/relationships/hyperlink" Target="https://deloittedevelopment.udemy.com/course/data-warehouse-etl-testing-data-quality-management-a-z/" TargetMode="External"/><Relationship Id="rId17" Type="http://schemas.openxmlformats.org/officeDocument/2006/relationships/hyperlink" Target="https://www.youtube.com/watch?v=Vbr6jKkjCRU" TargetMode="External"/><Relationship Id="rId25" Type="http://schemas.openxmlformats.org/officeDocument/2006/relationships/hyperlink" Target="https://deloittedevelopment.udemy.com/course/oracle-weblogic-12c-desde-cero/" TargetMode="External"/><Relationship Id="rId2" Type="http://schemas.openxmlformats.org/officeDocument/2006/relationships/hyperlink" Target="https://deloittedevelopment.udemy.com/course/microservices-with-spring-boot-and-spring-cloud/" TargetMode="External"/><Relationship Id="rId16" Type="http://schemas.openxmlformats.org/officeDocument/2006/relationships/hyperlink" Target="https://www.youtube.com/watch?v=lVBQ2Ac1jdA" TargetMode="External"/><Relationship Id="rId20" Type="http://schemas.openxmlformats.org/officeDocument/2006/relationships/hyperlink" Target="https://www.baeldung.com/intro-to-project-lombok" TargetMode="External"/><Relationship Id="rId29" Type="http://schemas.openxmlformats.org/officeDocument/2006/relationships/drawing" Target="../drawings/drawing3.xml"/><Relationship Id="rId1" Type="http://schemas.openxmlformats.org/officeDocument/2006/relationships/hyperlink" Target="https://deloittedevelopment.udemy.com/course/master-restful-apis-with-spring-boot/" TargetMode="External"/><Relationship Id="rId6" Type="http://schemas.openxmlformats.org/officeDocument/2006/relationships/hyperlink" Target="https://deloittedevelopment.udemy.com/course/java-messaging-service-spring-mvc-spring-boot-activemq/" TargetMode="External"/><Relationship Id="rId11" Type="http://schemas.openxmlformats.org/officeDocument/2006/relationships/hyperlink" Target="https://deloittedevelopment.udemy.com/labs/transform-e-commerce-clickstream-data-for-analysis-using-aws-glue/overview/" TargetMode="External"/><Relationship Id="rId24" Type="http://schemas.openxmlformats.org/officeDocument/2006/relationships/hyperlink" Target="https://deloittedevelopment.udemy.com/course/learn-kubernetes/" TargetMode="External"/><Relationship Id="rId5" Type="http://schemas.openxmlformats.org/officeDocument/2006/relationships/hyperlink" Target="https://deloittedevelopment.udemy.com/labs/learn-unit-testing-with-junit-and-mockito/overview/" TargetMode="External"/><Relationship Id="rId15" Type="http://schemas.openxmlformats.org/officeDocument/2006/relationships/hyperlink" Target="https://deloittedevelopment.udemy.com/course/aws-serverless-microservices-lambda-eventbridge-sqs-apigateway/" TargetMode="External"/><Relationship Id="rId23" Type="http://schemas.openxmlformats.org/officeDocument/2006/relationships/hyperlink" Target="https://cloud.google.com/architecture/cloud-foundry-on-gcp?hl=es-419" TargetMode="External"/><Relationship Id="rId28" Type="http://schemas.openxmlformats.org/officeDocument/2006/relationships/printerSettings" Target="../printerSettings/printerSettings2.bin"/><Relationship Id="rId10" Type="http://schemas.openxmlformats.org/officeDocument/2006/relationships/hyperlink" Target="https://deloittedevelopment.udemy.com/course/design-microservices-architecture-with-patterns-principles/" TargetMode="External"/><Relationship Id="rId19" Type="http://schemas.openxmlformats.org/officeDocument/2006/relationships/hyperlink" Target="https://deloittedevelopment.udemy.com/course/java-message-service-jms-fundamentals/" TargetMode="External"/><Relationship Id="rId4" Type="http://schemas.openxmlformats.org/officeDocument/2006/relationships/hyperlink" Target="https://deloittedevelopment.udemy.com/course/testing-spring-boot-beginner-to-guru/" TargetMode="External"/><Relationship Id="rId9" Type="http://schemas.openxmlformats.org/officeDocument/2006/relationships/hyperlink" Target="https://www.linkedin.com/learning/microservices-asynchronous-messaging/getting-work-done-in-microservices-14348858?autoplay=true&amp;u=1504" TargetMode="External"/><Relationship Id="rId14" Type="http://schemas.openxmlformats.org/officeDocument/2006/relationships/hyperlink" Target="https://deloittedevelopment.udemy.com/course/apache-spark-for-java-developers/" TargetMode="External"/><Relationship Id="rId22" Type="http://schemas.openxmlformats.org/officeDocument/2006/relationships/hyperlink" Target="https://deloittedevelopment.udemy.com/course/the-splunk-enterprise-certified-admin-course-2022-with-labs/" TargetMode="External"/><Relationship Id="rId27" Type="http://schemas.openxmlformats.org/officeDocument/2006/relationships/hyperlink" Target="https://deloittedevelopment.udemy.com/course/dynatrace-learning-tutorial/" TargetMode="External"/><Relationship Id="rId30"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9E4AB-53F2-457D-AB67-1D27286BC4D1}">
  <sheetPr codeName="Sheet4"/>
  <dimension ref="A1:E28"/>
  <sheetViews>
    <sheetView showGridLines="0" workbookViewId="0">
      <selection activeCell="H34" sqref="H34"/>
    </sheetView>
  </sheetViews>
  <sheetFormatPr defaultColWidth="8.85546875" defaultRowHeight="14.45"/>
  <sheetData>
    <row r="1" spans="1:5" s="160" customFormat="1"/>
    <row r="2" spans="1:5" s="160" customFormat="1"/>
    <row r="3" spans="1:5" s="160" customFormat="1"/>
    <row r="4" spans="1:5">
      <c r="A4" s="30"/>
      <c r="B4" s="174" t="s">
        <v>0</v>
      </c>
      <c r="C4" s="174"/>
      <c r="D4" s="174"/>
      <c r="E4" s="174"/>
    </row>
    <row r="5" spans="1:5">
      <c r="A5" s="31"/>
      <c r="B5" s="173" t="s">
        <v>1</v>
      </c>
      <c r="C5" s="173"/>
      <c r="D5" s="173"/>
      <c r="E5" s="173"/>
    </row>
    <row r="6" spans="1:5">
      <c r="A6" s="32"/>
      <c r="B6" s="173" t="s">
        <v>2</v>
      </c>
      <c r="C6" s="173"/>
      <c r="D6" s="173"/>
      <c r="E6" s="173"/>
    </row>
    <row r="7" spans="1:5">
      <c r="A7" s="33"/>
      <c r="B7" s="173" t="s">
        <v>3</v>
      </c>
      <c r="C7" s="173"/>
      <c r="D7" s="173"/>
      <c r="E7" s="173"/>
    </row>
    <row r="8" spans="1:5">
      <c r="A8" s="34"/>
      <c r="B8" s="173" t="s">
        <v>4</v>
      </c>
      <c r="C8" s="173"/>
      <c r="D8" s="173"/>
      <c r="E8" s="173"/>
    </row>
    <row r="9" spans="1:5">
      <c r="A9" s="35"/>
      <c r="B9" s="35"/>
    </row>
    <row r="10" spans="1:5">
      <c r="A10" s="36" t="s">
        <v>5</v>
      </c>
      <c r="B10" s="173" t="s">
        <v>6</v>
      </c>
      <c r="C10" s="173"/>
      <c r="D10" s="173"/>
      <c r="E10" s="173"/>
    </row>
    <row r="11" spans="1:5">
      <c r="A11" s="36" t="s">
        <v>7</v>
      </c>
      <c r="B11" s="173" t="s">
        <v>8</v>
      </c>
      <c r="C11" s="173"/>
      <c r="D11" s="173"/>
      <c r="E11" s="173"/>
    </row>
    <row r="12" spans="1:5">
      <c r="A12" s="35"/>
      <c r="B12" s="35"/>
    </row>
    <row r="13" spans="1:5">
      <c r="A13" s="35"/>
      <c r="B13" s="35"/>
    </row>
    <row r="14" spans="1:5">
      <c r="A14" s="35"/>
      <c r="B14" s="35"/>
    </row>
    <row r="15" spans="1:5">
      <c r="B15" s="35" t="s">
        <v>9</v>
      </c>
      <c r="C15" s="35"/>
    </row>
    <row r="16" spans="1:5">
      <c r="C16" s="35" t="s">
        <v>10</v>
      </c>
      <c r="D16" s="35"/>
    </row>
    <row r="17" spans="3:4">
      <c r="D17" t="s">
        <v>11</v>
      </c>
    </row>
    <row r="18" spans="3:4">
      <c r="D18" t="s">
        <v>12</v>
      </c>
    </row>
    <row r="19" spans="3:4">
      <c r="D19" t="s">
        <v>13</v>
      </c>
    </row>
    <row r="20" spans="3:4">
      <c r="C20" t="s">
        <v>14</v>
      </c>
    </row>
    <row r="21" spans="3:4">
      <c r="D21" t="s">
        <v>15</v>
      </c>
    </row>
    <row r="22" spans="3:4">
      <c r="D22" t="s">
        <v>16</v>
      </c>
    </row>
    <row r="23" spans="3:4">
      <c r="D23" t="s">
        <v>17</v>
      </c>
    </row>
    <row r="24" spans="3:4">
      <c r="D24" t="s">
        <v>18</v>
      </c>
    </row>
    <row r="25" spans="3:4">
      <c r="D25" t="s">
        <v>19</v>
      </c>
    </row>
    <row r="26" spans="3:4">
      <c r="C26" t="s">
        <v>20</v>
      </c>
    </row>
    <row r="27" spans="3:4">
      <c r="D27" t="s">
        <v>21</v>
      </c>
    </row>
    <row r="28" spans="3:4">
      <c r="D28" t="s">
        <v>22</v>
      </c>
    </row>
  </sheetData>
  <mergeCells count="7">
    <mergeCell ref="B11:E11"/>
    <mergeCell ref="B4:E4"/>
    <mergeCell ref="B5:E5"/>
    <mergeCell ref="B6:E6"/>
    <mergeCell ref="B7:E7"/>
    <mergeCell ref="B8:E8"/>
    <mergeCell ref="B10:E10"/>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M35"/>
  <sheetViews>
    <sheetView showGridLines="0" workbookViewId="0">
      <pane xSplit="3" ySplit="13" topLeftCell="D19" activePane="bottomRight" state="frozen"/>
      <selection pane="bottomRight" activeCell="D24" sqref="D23:D24"/>
      <selection pane="bottomLeft"/>
      <selection pane="topRight"/>
    </sheetView>
  </sheetViews>
  <sheetFormatPr defaultColWidth="8.85546875" defaultRowHeight="14.45"/>
  <cols>
    <col min="1" max="1" width="7.28515625" customWidth="1"/>
    <col min="2" max="2" width="44.42578125" bestFit="1" customWidth="1"/>
    <col min="3" max="3" width="3.42578125" bestFit="1" customWidth="1"/>
    <col min="4" max="4" width="12.42578125" bestFit="1" customWidth="1"/>
    <col min="5" max="6" width="15.85546875" bestFit="1" customWidth="1"/>
    <col min="7" max="7" width="8.7109375" customWidth="1"/>
    <col min="8" max="8" width="10.42578125" bestFit="1" customWidth="1"/>
    <col min="9" max="9" width="8.7109375" bestFit="1" customWidth="1"/>
    <col min="10" max="10" width="10.42578125" customWidth="1"/>
    <col min="11" max="12" width="10.42578125" bestFit="1" customWidth="1"/>
    <col min="14" max="14" width="11.42578125" bestFit="1" customWidth="1"/>
    <col min="16" max="16" width="21.7109375" bestFit="1" customWidth="1"/>
    <col min="18" max="18" width="11.42578125" bestFit="1" customWidth="1"/>
    <col min="20" max="20" width="12.7109375" customWidth="1"/>
    <col min="22" max="22" width="16.140625" customWidth="1"/>
    <col min="24" max="24" width="12.28515625" customWidth="1"/>
    <col min="26" max="26" width="11.85546875" customWidth="1"/>
    <col min="28" max="28" width="12.7109375" customWidth="1"/>
    <col min="30" max="30" width="10.42578125" bestFit="1" customWidth="1"/>
    <col min="32" max="32" width="10.42578125" bestFit="1" customWidth="1"/>
    <col min="34" max="34" width="10.42578125" bestFit="1" customWidth="1"/>
    <col min="36" max="36" width="10.42578125" bestFit="1" customWidth="1"/>
    <col min="38" max="38" width="10.42578125" bestFit="1" customWidth="1"/>
    <col min="40" max="40" width="10.42578125" bestFit="1" customWidth="1"/>
    <col min="42" max="42" width="10.42578125" bestFit="1" customWidth="1"/>
    <col min="44" max="44" width="10.42578125" bestFit="1" customWidth="1"/>
    <col min="46" max="46" width="10.42578125" bestFit="1" customWidth="1"/>
    <col min="47" max="47" width="13.42578125" customWidth="1"/>
    <col min="48" max="48" width="24.28515625" customWidth="1"/>
    <col min="49" max="49" width="10.42578125" bestFit="1" customWidth="1"/>
    <col min="51" max="53" width="7.42578125" bestFit="1" customWidth="1"/>
    <col min="54" max="54" width="16.140625" bestFit="1" customWidth="1"/>
    <col min="55" max="55" width="1.42578125" bestFit="1" customWidth="1"/>
    <col min="56" max="56" width="11.42578125" bestFit="1" customWidth="1"/>
    <col min="57" max="57" width="9.85546875" bestFit="1" customWidth="1"/>
    <col min="58" max="58" width="9.42578125" bestFit="1" customWidth="1"/>
    <col min="59" max="59" width="12.28515625" bestFit="1" customWidth="1"/>
    <col min="60" max="60" width="13.42578125" bestFit="1" customWidth="1"/>
    <col min="61" max="61" width="9.28515625" bestFit="1" customWidth="1"/>
  </cols>
  <sheetData>
    <row r="1" spans="1:65" s="160" customFormat="1"/>
    <row r="2" spans="1:65" s="160" customFormat="1"/>
    <row r="3" spans="1:65" s="160" customFormat="1"/>
    <row r="4" spans="1:65">
      <c r="B4" s="180" t="s">
        <v>23</v>
      </c>
      <c r="D4" s="1" t="s">
        <v>24</v>
      </c>
      <c r="H4">
        <v>2</v>
      </c>
      <c r="J4">
        <v>3</v>
      </c>
      <c r="L4">
        <v>2</v>
      </c>
      <c r="N4">
        <v>3</v>
      </c>
      <c r="O4" s="175">
        <v>2</v>
      </c>
      <c r="P4" s="175"/>
      <c r="Q4" s="175">
        <v>1</v>
      </c>
      <c r="R4" s="175"/>
      <c r="S4" s="175">
        <v>5</v>
      </c>
      <c r="T4" s="175"/>
      <c r="U4" s="175">
        <v>1</v>
      </c>
      <c r="V4" s="175"/>
      <c r="W4" s="175">
        <v>2</v>
      </c>
      <c r="X4" s="175"/>
      <c r="Y4" s="175">
        <v>3</v>
      </c>
      <c r="Z4" s="175"/>
      <c r="AA4" s="175">
        <v>0.5</v>
      </c>
      <c r="AB4" s="175"/>
      <c r="AC4" s="175">
        <v>2</v>
      </c>
      <c r="AD4" s="175"/>
      <c r="AE4" s="175">
        <v>1</v>
      </c>
      <c r="AF4" s="175"/>
      <c r="AG4" s="175">
        <v>0.5</v>
      </c>
      <c r="AH4" s="175"/>
      <c r="AI4" s="175">
        <v>4</v>
      </c>
      <c r="AJ4" s="175"/>
      <c r="AK4" s="175">
        <v>3</v>
      </c>
      <c r="AL4" s="175"/>
      <c r="AM4" s="175">
        <v>0.5</v>
      </c>
      <c r="AN4" s="175"/>
      <c r="AO4" s="175">
        <v>0.5</v>
      </c>
      <c r="AP4" s="175"/>
      <c r="AQ4" s="175">
        <v>2</v>
      </c>
      <c r="AR4" s="175"/>
      <c r="AS4" s="175">
        <v>4</v>
      </c>
      <c r="AT4" s="175"/>
      <c r="AU4" s="175">
        <f>AU5/8</f>
        <v>12</v>
      </c>
      <c r="AV4" s="175"/>
    </row>
    <row r="5" spans="1:65" s="2" customFormat="1">
      <c r="B5" s="180"/>
      <c r="D5" s="164" t="s">
        <v>25</v>
      </c>
      <c r="J5" s="3">
        <v>28</v>
      </c>
      <c r="K5" s="3"/>
      <c r="L5" s="3">
        <v>12</v>
      </c>
      <c r="N5" s="2">
        <v>24</v>
      </c>
      <c r="O5" s="178">
        <v>16</v>
      </c>
      <c r="P5" s="178"/>
      <c r="Q5" s="178">
        <v>8</v>
      </c>
      <c r="R5" s="178"/>
      <c r="S5" s="178">
        <v>40</v>
      </c>
      <c r="T5" s="178"/>
      <c r="U5" s="178">
        <v>8</v>
      </c>
      <c r="V5" s="178"/>
      <c r="W5" s="178">
        <v>16</v>
      </c>
      <c r="X5" s="178"/>
      <c r="Y5" s="178">
        <v>24</v>
      </c>
      <c r="Z5" s="178"/>
      <c r="AA5" s="178">
        <v>4</v>
      </c>
      <c r="AB5" s="178"/>
      <c r="AC5" s="178">
        <v>16</v>
      </c>
      <c r="AD5" s="178"/>
      <c r="AE5" s="178">
        <v>8</v>
      </c>
      <c r="AF5" s="178"/>
      <c r="AG5" s="178">
        <v>4</v>
      </c>
      <c r="AH5" s="178"/>
      <c r="AI5" s="178">
        <v>32</v>
      </c>
      <c r="AJ5" s="178"/>
      <c r="AK5" s="178">
        <v>24</v>
      </c>
      <c r="AL5" s="178"/>
      <c r="AM5" s="178">
        <v>3</v>
      </c>
      <c r="AN5" s="178"/>
      <c r="AO5" s="178">
        <v>3</v>
      </c>
      <c r="AP5" s="178"/>
      <c r="AQ5" s="178">
        <v>16</v>
      </c>
      <c r="AR5" s="178"/>
      <c r="AS5" s="178">
        <v>32</v>
      </c>
      <c r="AT5" s="178"/>
      <c r="AU5" s="188">
        <v>96</v>
      </c>
      <c r="AV5" s="188"/>
      <c r="AY5" s="183" t="s">
        <v>26</v>
      </c>
      <c r="AZ5" s="183"/>
      <c r="BA5" s="183"/>
      <c r="BB5" s="183"/>
      <c r="BC5" s="183"/>
      <c r="BD5" s="183"/>
      <c r="BE5" s="183"/>
      <c r="BF5" s="183"/>
      <c r="BG5" s="183"/>
      <c r="BH5" s="183"/>
      <c r="BI5" s="183"/>
    </row>
    <row r="6" spans="1:65" ht="15.6">
      <c r="B6" s="180"/>
      <c r="D6" s="1" t="s">
        <v>27</v>
      </c>
      <c r="G6" s="184" t="s">
        <v>28</v>
      </c>
      <c r="H6" s="184"/>
      <c r="I6" s="184" t="s">
        <v>29</v>
      </c>
      <c r="J6" s="184"/>
      <c r="K6" s="185" t="s">
        <v>30</v>
      </c>
      <c r="L6" s="186"/>
      <c r="M6" s="187" t="s">
        <v>31</v>
      </c>
      <c r="N6" s="187"/>
      <c r="O6" s="179" t="s">
        <v>32</v>
      </c>
      <c r="P6" s="179"/>
      <c r="Q6" s="179" t="s">
        <v>33</v>
      </c>
      <c r="R6" s="179"/>
      <c r="S6" s="187" t="s">
        <v>34</v>
      </c>
      <c r="T6" s="187"/>
      <c r="U6" s="179" t="s">
        <v>35</v>
      </c>
      <c r="V6" s="179"/>
      <c r="W6" s="176" t="s">
        <v>36</v>
      </c>
      <c r="X6" s="176"/>
      <c r="Y6" s="179" t="s">
        <v>37</v>
      </c>
      <c r="Z6" s="179"/>
      <c r="AA6" s="179" t="s">
        <v>38</v>
      </c>
      <c r="AB6" s="179"/>
      <c r="AC6" s="176" t="s">
        <v>39</v>
      </c>
      <c r="AD6" s="176"/>
      <c r="AE6" s="179" t="s">
        <v>40</v>
      </c>
      <c r="AF6" s="179"/>
      <c r="AG6" s="179" t="s">
        <v>41</v>
      </c>
      <c r="AH6" s="179"/>
      <c r="AI6" s="191" t="s">
        <v>42</v>
      </c>
      <c r="AJ6" s="191"/>
      <c r="AK6" s="176" t="s">
        <v>43</v>
      </c>
      <c r="AL6" s="176"/>
      <c r="AM6" s="179" t="s">
        <v>44</v>
      </c>
      <c r="AN6" s="179"/>
      <c r="AO6" s="179" t="s">
        <v>45</v>
      </c>
      <c r="AP6" s="179"/>
      <c r="AQ6" s="179" t="s">
        <v>46</v>
      </c>
      <c r="AR6" s="179"/>
      <c r="AS6" s="176" t="s">
        <v>47</v>
      </c>
      <c r="AT6" s="176"/>
      <c r="AU6" s="176" t="s">
        <v>48</v>
      </c>
      <c r="AV6" s="177"/>
      <c r="AW6" s="29"/>
      <c r="AX6" s="29"/>
      <c r="AY6" s="113" t="s">
        <v>49</v>
      </c>
      <c r="AZ6" s="113" t="s">
        <v>49</v>
      </c>
      <c r="BA6" s="113" t="s">
        <v>49</v>
      </c>
      <c r="BB6" s="113" t="s">
        <v>48</v>
      </c>
      <c r="BC6" s="113" t="s">
        <v>50</v>
      </c>
      <c r="BD6" s="113" t="s">
        <v>51</v>
      </c>
      <c r="BE6" s="113" t="s">
        <v>52</v>
      </c>
      <c r="BF6" s="113" t="s">
        <v>53</v>
      </c>
      <c r="BG6" s="113" t="s">
        <v>54</v>
      </c>
      <c r="BH6" s="113" t="s">
        <v>55</v>
      </c>
      <c r="BI6" s="113" t="s">
        <v>56</v>
      </c>
      <c r="BJ6" s="29"/>
      <c r="BK6" s="29"/>
      <c r="BL6" s="29"/>
    </row>
    <row r="7" spans="1:65">
      <c r="D7" s="164" t="s">
        <v>57</v>
      </c>
      <c r="N7" s="2" t="s">
        <v>58</v>
      </c>
      <c r="O7" s="2"/>
      <c r="P7" s="2" t="s">
        <v>59</v>
      </c>
      <c r="Q7" s="2"/>
      <c r="R7" s="2" t="s">
        <v>60</v>
      </c>
      <c r="S7" s="2"/>
      <c r="T7" s="2" t="s">
        <v>61</v>
      </c>
      <c r="U7" s="2"/>
      <c r="V7" s="2" t="s">
        <v>60</v>
      </c>
      <c r="W7" s="2"/>
      <c r="X7" s="2" t="s">
        <v>62</v>
      </c>
      <c r="Y7" s="2"/>
      <c r="Z7" s="2" t="s">
        <v>63</v>
      </c>
      <c r="AA7" s="2"/>
      <c r="AB7" s="2" t="s">
        <v>64</v>
      </c>
      <c r="AC7" s="2"/>
      <c r="AD7" s="2" t="s">
        <v>62</v>
      </c>
      <c r="AE7" s="2"/>
      <c r="AF7" s="2" t="s">
        <v>65</v>
      </c>
      <c r="AG7" s="2"/>
      <c r="AH7" s="2" t="s">
        <v>64</v>
      </c>
      <c r="AI7" s="2"/>
      <c r="AJ7" s="2" t="s">
        <v>66</v>
      </c>
      <c r="AK7" s="2"/>
      <c r="AL7" s="2" t="s">
        <v>63</v>
      </c>
      <c r="AM7" s="2"/>
      <c r="AN7" s="2" t="s">
        <v>67</v>
      </c>
      <c r="AO7" s="2"/>
      <c r="AP7" s="2" t="s">
        <v>67</v>
      </c>
      <c r="AQ7" s="2"/>
      <c r="AR7" s="2" t="s">
        <v>62</v>
      </c>
      <c r="AS7" s="2"/>
      <c r="AT7" s="2" t="s">
        <v>66</v>
      </c>
      <c r="AU7" s="2"/>
      <c r="AV7" s="2" t="s">
        <v>66</v>
      </c>
      <c r="AW7" s="29"/>
      <c r="AX7" s="29"/>
      <c r="AY7" s="29" t="s">
        <v>68</v>
      </c>
      <c r="AZ7" s="29" t="s">
        <v>68</v>
      </c>
      <c r="BA7" s="29" t="s">
        <v>68</v>
      </c>
      <c r="BB7" s="29" t="s">
        <v>69</v>
      </c>
      <c r="BC7" s="29"/>
      <c r="BD7" s="29" t="s">
        <v>70</v>
      </c>
      <c r="BE7" s="29" t="s">
        <v>71</v>
      </c>
      <c r="BF7" s="29" t="s">
        <v>62</v>
      </c>
      <c r="BG7" s="29" t="s">
        <v>72</v>
      </c>
      <c r="BH7" s="29" t="s">
        <v>73</v>
      </c>
      <c r="BI7" s="29">
        <v>4</v>
      </c>
      <c r="BJ7" s="29"/>
      <c r="BK7" s="29"/>
      <c r="BL7" s="29"/>
    </row>
    <row r="8" spans="1:65" s="4" customFormat="1" ht="15.6">
      <c r="C8" s="5" t="s">
        <v>74</v>
      </c>
      <c r="D8" s="6">
        <f>SUM(IF(M8="x",$N$5,0)+IF(O8="x",$O$5,0)+IF(Q8="x",$Q$5,0)+IF(T8="x",$S$5,0)+IF(U8="x",$U$5,0)+IF(X8="x",$W$5,0)+IF(Y8="x",$Y$5,0)+IF(AA8="x",$AA$5,0)+IF(AC8="x",$AC$5,0)+IF(AE8="x",$AE$5,0)+IF(AH8="x",$AG$5,0)+IF(AJ8="x",$AI$5,0)+IF(AL8="x",$AK$5,0)+IF(AN8="x",$AM$5,0)+IF(AP8="x",$AO$5,0)+IF(AR8="x",$AQ$5,0)+IF(AT8="x",$AS$5,0)+IF(AU8="x",#REF!,0)+IF(AV8="x",$AU$5,0))</f>
        <v>108</v>
      </c>
      <c r="E8" s="7"/>
      <c r="F8" s="7"/>
      <c r="G8" s="189" t="s">
        <v>75</v>
      </c>
      <c r="H8" s="190"/>
      <c r="I8" s="189" t="s">
        <v>75</v>
      </c>
      <c r="J8" s="190"/>
      <c r="K8" s="189" t="s">
        <v>75</v>
      </c>
      <c r="L8" s="190"/>
      <c r="M8" s="181" t="s">
        <v>75</v>
      </c>
      <c r="N8" s="182"/>
      <c r="O8" s="181" t="s">
        <v>75</v>
      </c>
      <c r="P8" s="182"/>
      <c r="Q8" s="181" t="s">
        <v>75</v>
      </c>
      <c r="R8" s="182"/>
      <c r="S8" s="181"/>
      <c r="T8" s="182"/>
      <c r="U8" s="181" t="s">
        <v>75</v>
      </c>
      <c r="V8" s="182"/>
      <c r="W8" s="181"/>
      <c r="X8" s="182"/>
      <c r="Y8" s="181" t="s">
        <v>75</v>
      </c>
      <c r="Z8" s="182"/>
      <c r="AA8" s="181" t="s">
        <v>75</v>
      </c>
      <c r="AB8" s="182"/>
      <c r="AC8" s="181" t="s">
        <v>75</v>
      </c>
      <c r="AD8" s="182"/>
      <c r="AE8" s="181" t="s">
        <v>75</v>
      </c>
      <c r="AF8" s="182"/>
      <c r="AG8" s="181"/>
      <c r="AH8" s="182"/>
      <c r="AI8" s="181"/>
      <c r="AJ8" s="182"/>
      <c r="AK8" s="181"/>
      <c r="AL8" s="182"/>
      <c r="AM8" s="181"/>
      <c r="AN8" s="182"/>
      <c r="AO8" s="181"/>
      <c r="AP8" s="182"/>
      <c r="AQ8" s="181"/>
      <c r="AR8" s="182"/>
      <c r="AS8" s="181"/>
      <c r="AT8" s="182"/>
      <c r="AU8" s="181"/>
      <c r="AV8" s="194"/>
      <c r="AW8" s="29"/>
      <c r="AX8" s="29"/>
      <c r="AY8" s="114"/>
      <c r="AZ8" s="114"/>
      <c r="BA8" s="114"/>
      <c r="BB8" s="114"/>
      <c r="BC8" s="114"/>
      <c r="BD8" s="114"/>
      <c r="BE8" s="114"/>
      <c r="BF8" s="114"/>
      <c r="BG8" s="114"/>
      <c r="BH8" s="114"/>
      <c r="BI8" s="114"/>
      <c r="BJ8" s="114"/>
      <c r="BK8" s="114"/>
      <c r="BL8" s="114"/>
      <c r="BM8" s="101"/>
    </row>
    <row r="9" spans="1:65" s="4" customFormat="1" ht="15.6">
      <c r="C9" s="5" t="s">
        <v>76</v>
      </c>
      <c r="D9" s="6" t="e">
        <f>SUM(IF(M9="x",$N$5,0)+IF(O9="x",$O$5,0)+IF(Q9="x",$Q$5,0)+IF(T9="x",$S$5,0)+IF(U9="x",$U$5,0)+IF(X9="x",$W$5,0)+IF(Y9="x",$Y$5,0)+IF(AA9="x",$AA$5,0)+IF(AC9="x",$AC$5,0)+IF(AE9="x",$AE$5,0)+IF(AG9="x",$AG$5,0)+IF(AJ9="x",$AI$5,0)+IF(AL9="x",$AK$5,0)+IF(AN9="x",$AM$5,0)+IF(AP9="x",$AO$5,0)+IF(AR9="x",$AQ$5,0)+IF(AT9="x",$AS$5,0)+IF(AU9="x",#REF!,0)+IF(AV9="x",$AU$5,0))</f>
        <v>#REF!</v>
      </c>
      <c r="E9" s="7"/>
      <c r="F9" s="7"/>
      <c r="G9" s="189" t="s">
        <v>75</v>
      </c>
      <c r="H9" s="190"/>
      <c r="I9" s="189" t="s">
        <v>75</v>
      </c>
      <c r="J9" s="190"/>
      <c r="K9" s="189" t="s">
        <v>75</v>
      </c>
      <c r="L9" s="190"/>
      <c r="M9" s="181" t="s">
        <v>75</v>
      </c>
      <c r="N9" s="182"/>
      <c r="O9" s="181" t="s">
        <v>75</v>
      </c>
      <c r="P9" s="182"/>
      <c r="Q9" s="181" t="s">
        <v>75</v>
      </c>
      <c r="R9" s="182"/>
      <c r="S9" s="181"/>
      <c r="T9" s="182"/>
      <c r="U9" s="181" t="s">
        <v>75</v>
      </c>
      <c r="V9" s="182"/>
      <c r="W9" s="181"/>
      <c r="X9" s="182"/>
      <c r="Y9" s="181" t="s">
        <v>75</v>
      </c>
      <c r="Z9" s="182"/>
      <c r="AA9" s="181" t="s">
        <v>75</v>
      </c>
      <c r="AB9" s="182"/>
      <c r="AC9" s="181" t="s">
        <v>75</v>
      </c>
      <c r="AD9" s="182"/>
      <c r="AE9" s="181" t="s">
        <v>75</v>
      </c>
      <c r="AF9" s="182"/>
      <c r="AG9" s="181" t="s">
        <v>75</v>
      </c>
      <c r="AH9" s="182"/>
      <c r="AI9" s="181"/>
      <c r="AJ9" s="182"/>
      <c r="AK9" s="181"/>
      <c r="AL9" s="182"/>
      <c r="AM9" s="181"/>
      <c r="AN9" s="182"/>
      <c r="AO9" s="181"/>
      <c r="AP9" s="182"/>
      <c r="AQ9" s="181"/>
      <c r="AR9" s="182"/>
      <c r="AS9" s="181"/>
      <c r="AT9" s="182"/>
      <c r="AU9" s="181" t="s">
        <v>75</v>
      </c>
      <c r="AV9" s="194"/>
      <c r="AW9" s="29"/>
      <c r="AX9" s="29"/>
      <c r="AY9" s="114"/>
      <c r="AZ9" s="114"/>
      <c r="BA9" s="114"/>
      <c r="BB9" s="114"/>
      <c r="BC9" s="114"/>
      <c r="BD9" s="114"/>
      <c r="BE9" s="114"/>
      <c r="BF9" s="114"/>
      <c r="BG9" s="114"/>
      <c r="BH9" s="114"/>
      <c r="BI9" s="114"/>
      <c r="BJ9" s="114"/>
      <c r="BK9" s="114"/>
      <c r="BL9" s="114"/>
      <c r="BM9" s="101"/>
    </row>
    <row r="10" spans="1:65" s="4" customFormat="1" ht="15.6">
      <c r="C10" s="5" t="s">
        <v>77</v>
      </c>
      <c r="D10" s="6" t="e">
        <f>SUM(IF(N10="x",$N$5,0)+IF(P10="x",$O$5,0)+IF(R10="x",$Q$5,0)+IF(T10="x",$S$5,0)+IF(V10="x",$U$5,0)+IF(X10="x",$W$5,0)+IF(Y10="x",$Y$5,0)+IF(AA10="x",$AA$5,0)+IF(AC10="x",$AC$5,0)+IF(AE10="x",$AE$5,0)+IF(AG10="x",$AG$5,0)+IF(AI10="x",$AI$5,0)+IF(AK10="x",$AK$5,0)+IF(AM10="x",$AM$5,0)+IF(AO10="x",$AO$5,0)+IF(AQ10="x",$AQ$5,0)+IF(AT10="x",$AS$5,0)+IF(AU10="x",#REF!,0)+IF(AV10="x",$AU$5,0))</f>
        <v>#REF!</v>
      </c>
      <c r="E10" s="7"/>
      <c r="F10" s="7"/>
      <c r="G10" s="192" t="s">
        <v>75</v>
      </c>
      <c r="H10" s="192"/>
      <c r="I10" s="192" t="s">
        <v>75</v>
      </c>
      <c r="J10" s="192"/>
      <c r="K10" s="192" t="s">
        <v>75</v>
      </c>
      <c r="L10" s="192"/>
      <c r="M10" s="193" t="s">
        <v>75</v>
      </c>
      <c r="N10" s="193"/>
      <c r="O10" s="181" t="s">
        <v>75</v>
      </c>
      <c r="P10" s="182"/>
      <c r="Q10" s="181" t="s">
        <v>75</v>
      </c>
      <c r="R10" s="182"/>
      <c r="S10" s="181"/>
      <c r="T10" s="182"/>
      <c r="U10" s="181" t="s">
        <v>75</v>
      </c>
      <c r="V10" s="182"/>
      <c r="W10" s="181"/>
      <c r="X10" s="182"/>
      <c r="Y10" s="181" t="s">
        <v>75</v>
      </c>
      <c r="Z10" s="182"/>
      <c r="AA10" s="181" t="s">
        <v>75</v>
      </c>
      <c r="AB10" s="182"/>
      <c r="AC10" s="181" t="s">
        <v>75</v>
      </c>
      <c r="AD10" s="182"/>
      <c r="AE10" s="181" t="s">
        <v>75</v>
      </c>
      <c r="AF10" s="182"/>
      <c r="AG10" s="181" t="s">
        <v>75</v>
      </c>
      <c r="AH10" s="182"/>
      <c r="AI10" s="181" t="s">
        <v>75</v>
      </c>
      <c r="AJ10" s="182"/>
      <c r="AK10" s="181" t="s">
        <v>75</v>
      </c>
      <c r="AL10" s="182"/>
      <c r="AM10" s="181" t="s">
        <v>75</v>
      </c>
      <c r="AN10" s="182"/>
      <c r="AO10" s="181" t="s">
        <v>75</v>
      </c>
      <c r="AP10" s="182"/>
      <c r="AQ10" s="181" t="s">
        <v>75</v>
      </c>
      <c r="AR10" s="182"/>
      <c r="AS10" s="181" t="s">
        <v>75</v>
      </c>
      <c r="AT10" s="182"/>
      <c r="AU10" s="181" t="s">
        <v>75</v>
      </c>
      <c r="AV10" s="194"/>
      <c r="AW10" s="29"/>
      <c r="AX10" s="29"/>
      <c r="AY10" s="114"/>
      <c r="AZ10" s="114"/>
      <c r="BA10" s="114"/>
      <c r="BB10" s="114"/>
      <c r="BC10" s="114"/>
      <c r="BD10" s="114"/>
      <c r="BE10" s="114"/>
      <c r="BF10" s="114"/>
      <c r="BG10" s="114"/>
      <c r="BH10" s="114"/>
      <c r="BI10" s="114"/>
      <c r="BJ10" s="114"/>
      <c r="BK10" s="114"/>
      <c r="BL10" s="114"/>
      <c r="BM10" s="101"/>
    </row>
    <row r="11" spans="1:65" s="4" customFormat="1" ht="15.6">
      <c r="C11" s="5" t="s">
        <v>78</v>
      </c>
      <c r="D11" s="6" t="e">
        <f>SUM(IF(N11="x",$N$5,0)+IF(P11="x",$O$5,0)+IF(R11="x",$Q$5,0)+IF(T11="x",$S$5,0)+IF(V11="x",$U$5,0)+IF(X11="x",$W$5,0)+IF(Y11="x",$Y$5,0)+IF(AA11="x",$AA$5,0)+IF(AC11="x",$AC$5,0)+IF(AE11="x",$AE$5,0)+IF(AG11="x",$AG$5,0)+IF(AI11="x",$AI$5,0)+IF(AK11="x",$AK$5,0)+IF(AM11="x",$AM$5,0)+IF(AO11="x",$AO$5,0)+IF(AQ11="x",$AQ$5,0)+IF(AT11="x",$AS$5,0)+IF(AU11="x",#REF!,0)+IF(AV11="x",$AU$5,0))</f>
        <v>#REF!</v>
      </c>
      <c r="E11" s="7"/>
      <c r="F11" s="7"/>
      <c r="G11" s="189" t="s">
        <v>75</v>
      </c>
      <c r="H11" s="190"/>
      <c r="I11" s="189" t="s">
        <v>75</v>
      </c>
      <c r="J11" s="190"/>
      <c r="K11" s="189" t="s">
        <v>75</v>
      </c>
      <c r="L11" s="190"/>
      <c r="M11" s="189"/>
      <c r="N11" s="190"/>
      <c r="O11" s="181"/>
      <c r="P11" s="182"/>
      <c r="Q11" s="181" t="s">
        <v>75</v>
      </c>
      <c r="R11" s="182"/>
      <c r="S11" s="181"/>
      <c r="T11" s="182"/>
      <c r="U11" s="181"/>
      <c r="V11" s="182"/>
      <c r="W11" s="181"/>
      <c r="X11" s="182"/>
      <c r="Y11" s="181" t="s">
        <v>75</v>
      </c>
      <c r="Z11" s="182"/>
      <c r="AA11" s="181" t="s">
        <v>75</v>
      </c>
      <c r="AB11" s="182"/>
      <c r="AC11" s="181" t="s">
        <v>75</v>
      </c>
      <c r="AD11" s="182"/>
      <c r="AE11" s="181" t="s">
        <v>75</v>
      </c>
      <c r="AF11" s="182"/>
      <c r="AG11" s="181" t="s">
        <v>75</v>
      </c>
      <c r="AH11" s="182"/>
      <c r="AI11" s="181" t="s">
        <v>75</v>
      </c>
      <c r="AJ11" s="182"/>
      <c r="AK11" s="181" t="s">
        <v>75</v>
      </c>
      <c r="AL11" s="182"/>
      <c r="AM11" s="181" t="s">
        <v>75</v>
      </c>
      <c r="AN11" s="182"/>
      <c r="AO11" s="181" t="s">
        <v>75</v>
      </c>
      <c r="AP11" s="182"/>
      <c r="AQ11" s="181" t="s">
        <v>75</v>
      </c>
      <c r="AR11" s="182"/>
      <c r="AS11" s="181" t="s">
        <v>75</v>
      </c>
      <c r="AT11" s="182"/>
      <c r="AU11" s="181" t="s">
        <v>75</v>
      </c>
      <c r="AV11" s="194"/>
      <c r="AW11" s="29"/>
      <c r="AX11" s="29"/>
      <c r="AY11" s="114"/>
      <c r="AZ11" s="114"/>
      <c r="BA11" s="114"/>
      <c r="BB11" s="114"/>
      <c r="BC11" s="114"/>
      <c r="BD11" s="114"/>
      <c r="BE11" s="114"/>
      <c r="BF11" s="114"/>
      <c r="BG11" s="114"/>
      <c r="BH11" s="114"/>
      <c r="BI11" s="114"/>
      <c r="BJ11" s="114"/>
      <c r="BK11" s="114"/>
      <c r="BL11" s="114"/>
      <c r="BM11" s="101"/>
    </row>
    <row r="12" spans="1:65">
      <c r="C12" t="s">
        <v>79</v>
      </c>
      <c r="D12" s="8" t="s">
        <v>80</v>
      </c>
      <c r="E12" s="8" t="s">
        <v>81</v>
      </c>
      <c r="F12" s="8" t="s">
        <v>82</v>
      </c>
      <c r="G12" s="8" t="s">
        <v>83</v>
      </c>
      <c r="H12" s="8" t="s">
        <v>84</v>
      </c>
      <c r="I12" s="8" t="s">
        <v>83</v>
      </c>
      <c r="J12" s="8" t="s">
        <v>84</v>
      </c>
      <c r="K12" s="8" t="s">
        <v>83</v>
      </c>
      <c r="L12" s="8" t="s">
        <v>84</v>
      </c>
      <c r="M12" s="8" t="s">
        <v>83</v>
      </c>
      <c r="N12" s="8" t="s">
        <v>84</v>
      </c>
      <c r="O12" s="8" t="s">
        <v>83</v>
      </c>
      <c r="P12" s="8" t="s">
        <v>84</v>
      </c>
      <c r="Q12" s="8" t="s">
        <v>83</v>
      </c>
      <c r="R12" s="8" t="s">
        <v>84</v>
      </c>
      <c r="S12" s="8" t="s">
        <v>83</v>
      </c>
      <c r="T12" s="8" t="s">
        <v>84</v>
      </c>
      <c r="U12" s="8" t="s">
        <v>83</v>
      </c>
      <c r="V12" s="8" t="s">
        <v>84</v>
      </c>
      <c r="W12" s="8" t="s">
        <v>83</v>
      </c>
      <c r="X12" s="8" t="s">
        <v>84</v>
      </c>
      <c r="Y12" s="8" t="s">
        <v>83</v>
      </c>
      <c r="Z12" s="8" t="s">
        <v>84</v>
      </c>
      <c r="AA12" s="8" t="s">
        <v>83</v>
      </c>
      <c r="AB12" s="8" t="s">
        <v>84</v>
      </c>
      <c r="AC12" s="8"/>
      <c r="AW12" s="29"/>
      <c r="AX12" s="29"/>
      <c r="AY12" s="29"/>
      <c r="AZ12" s="29"/>
      <c r="BA12" s="29"/>
      <c r="BB12" s="29"/>
      <c r="BC12" s="29"/>
      <c r="BD12" s="29"/>
      <c r="BE12" s="29"/>
      <c r="BF12" s="29"/>
      <c r="BG12" s="29"/>
      <c r="BH12" s="29"/>
      <c r="BI12" s="29"/>
      <c r="BJ12" s="29"/>
      <c r="BK12" s="29"/>
      <c r="BL12" s="29"/>
    </row>
    <row r="13" spans="1:65" s="15" customFormat="1" ht="18.600000000000001">
      <c r="A13" s="21"/>
      <c r="B13" s="9" t="str">
        <f>'[1]information-Java'!A7</f>
        <v>Name</v>
      </c>
      <c r="C13" s="10"/>
      <c r="D13" s="11" t="str">
        <f>'[1]information-Java'!B7</f>
        <v>Income Date</v>
      </c>
      <c r="E13" s="11"/>
      <c r="F13" s="11"/>
      <c r="G13" s="11"/>
      <c r="H13" s="11"/>
      <c r="I13" s="11"/>
      <c r="J13" s="11"/>
      <c r="K13" s="11"/>
      <c r="L13" s="11"/>
      <c r="M13" s="12"/>
      <c r="N13" s="13"/>
      <c r="O13" s="14"/>
      <c r="P13" s="13"/>
      <c r="Q13" s="13"/>
      <c r="R13" s="13"/>
      <c r="S13" s="14"/>
      <c r="T13" s="13"/>
      <c r="U13" s="14"/>
      <c r="V13" s="13"/>
      <c r="W13" s="14"/>
      <c r="X13" s="13"/>
      <c r="Y13" s="14"/>
      <c r="Z13" s="13"/>
      <c r="AA13" s="14"/>
      <c r="AB13" s="13"/>
      <c r="AC13" s="14"/>
      <c r="AD13" s="13"/>
      <c r="AE13" s="14"/>
      <c r="AF13" s="13"/>
      <c r="AG13" s="14"/>
      <c r="AH13" s="13"/>
      <c r="AI13" s="14"/>
      <c r="AJ13" s="13"/>
      <c r="AK13" s="14"/>
      <c r="AL13" s="13"/>
      <c r="AM13" s="14"/>
      <c r="AN13" s="13"/>
      <c r="AO13" s="14"/>
      <c r="AP13" s="13"/>
      <c r="AQ13" s="14"/>
      <c r="AR13" s="13"/>
      <c r="AS13" s="14"/>
      <c r="AT13" s="13"/>
      <c r="AU13" s="14"/>
      <c r="AV13" s="115"/>
      <c r="AW13" s="29"/>
      <c r="AX13" s="29"/>
      <c r="AY13" s="29"/>
      <c r="AZ13" s="29"/>
      <c r="BA13" s="29"/>
      <c r="BB13" s="29"/>
      <c r="BC13" s="29"/>
      <c r="BD13" s="29"/>
      <c r="BE13" s="29"/>
      <c r="BF13" s="29"/>
      <c r="BG13" s="29"/>
      <c r="BH13" s="29"/>
      <c r="BI13" s="29"/>
      <c r="BJ13" s="29"/>
      <c r="BK13" s="29"/>
      <c r="BL13" s="29"/>
      <c r="BM13" s="18"/>
    </row>
    <row r="14" spans="1:65" s="15" customFormat="1" ht="18.600000000000001">
      <c r="A14" s="65" t="s">
        <v>5</v>
      </c>
      <c r="B14" s="66" t="str">
        <f>'[1]information-Java'!A8</f>
        <v>GALLO VALENZUELA, DIEGO FERNANDO</v>
      </c>
      <c r="C14" s="122" t="str">
        <f>'[1]information-Java'!$D$8</f>
        <v>JR</v>
      </c>
      <c r="D14" s="16">
        <f>'[1]information-Java'!B8</f>
        <v>44893</v>
      </c>
      <c r="E14" s="16">
        <f>L14</f>
        <v>44902</v>
      </c>
      <c r="F14" s="16">
        <v>44939</v>
      </c>
      <c r="G14" s="16"/>
      <c r="H14" s="16">
        <f>IF((($C14=$C$8)*($G$8="x"))+(($C14=$C$9)*($G$9="x"))+(($C14=$C$10)*($G$10="x"))+(($C14=$C$11)*($G$11="x")), WORKDAY.INTL(D14,SUM($H$4,G14),1,holidays!A$4:A$1503),D14)</f>
        <v>44895</v>
      </c>
      <c r="I14" s="16"/>
      <c r="J14" s="16" cm="1">
        <f t="array" ref="J14">IF((($C14=$C$8)*($I$8:$I$8="x"))+(($C14=$C$9)*($I$9:$I$9="x"))+(($C14=$C$10)*($I$10:$I$10="x"))+(($C14=$C$11)*($I$11:$I$11="x")), WORKDAY.INTL(H14,SUM($J$4,I14),1,holidays!A$4:A$1503),H14)</f>
        <v>44900</v>
      </c>
      <c r="K14" s="16"/>
      <c r="L14" s="16">
        <f>IF((($C14=$C$8)*($K$8="x"))+(($C14=$C$9)*($K$9="x"))+(($C14=$C$10)*($K$10="x"))+(($C14=$C$11)*($K$11="x")), WORKDAY.INTL(J14,SUM($L$4,K14),1,holidays!A$4:A$1503),J14)</f>
        <v>44902</v>
      </c>
      <c r="M14"/>
      <c r="N14" s="67">
        <f>IF((($C14=$C$8)*($M$8="x"))+(($C14=$C$9)*($M$9="x"))+(($C14=$C$10)*($M$10="x"))+(($C14=$C$11)*($M$11="x")), WORKDAY.INTL(IF($A14="N",$L14,$E14),SUM($N$4,M14),1,holidays!A$4:A$1503),IF($A14="N",$L14,$E14))</f>
        <v>44908</v>
      </c>
      <c r="P14" s="67">
        <f>IF((($C14=$C$8)*($O$8="x"))+(($C14=$C$9)*($O$9="x"))+(($C14=$C$10)*($O$10="x"))+(($C14=$C$11)*($O$11="x")), WORKDAY.INTL(N14,SUM($O$4,O14),1,holidays!A$4:A$1503),N14)</f>
        <v>44910</v>
      </c>
      <c r="R14" s="67">
        <f>IF((($C14=$C$8)*($Q$8="x"))+(($C14=$C$9)*($Q$9="x"))+(($C14=$C$10)*($Q$10="x"))+(($C14=$C$11)*($Q$11="x")), WORKDAY.INTL(P14,SUM($Q$4,Q14),1,holidays!A$4:A$1503),P14)</f>
        <v>44911</v>
      </c>
      <c r="T14" s="17">
        <f>IF((($C14=$C$8)*($S$8="x"))+(($C14=$C$9)*($S$9="x"))+(($C14=$C$10)*($S$10="x"))+(($C14=$C$11)*($S$11="x")), WORKDAY.INTL(R14,SUM($S$4,S14),1,holidays!A$4:A$1503),R14)</f>
        <v>44911</v>
      </c>
      <c r="V14" s="67">
        <f>IF((($C14=$C$8)*($U$8="x"))+(($C14=$C$9)*($U$9="x"))+(($C14=$C$10)*($U$10="x"))+(($C14=$C$11)*($U$11="x")), WORKDAY.INTL(T14,SUM($U$4,U14),1,holidays!A$4:A$1503),T14)</f>
        <v>44914</v>
      </c>
      <c r="X14" s="17">
        <f>IF((($C14=$C$8)*($W$8="x"))+(($C14=$C$9)*($W$9="x"))+(($C14=$C$10)*($W$10="x"))+(($C14=$C$11)*($W$11="x")), WORKDAY.INTL(V14,SUM($W$4,W14),1,holidays!A$4:A$1503),V14)</f>
        <v>44914</v>
      </c>
      <c r="Z14" s="67">
        <f>IF((($C14=$C$8)*($Y$8="x"))+(($C14=$C$9)*($Y$9="x"))+(($C14=$C$10)*($Y$10="x"))+(($C14=$C$11)*($Y$11="x")), WORKDAY.INTL(X14,SUM($Y$4,Y14),1,holidays!A$4:A$1503),X14)</f>
        <v>44917</v>
      </c>
      <c r="AA14" s="17"/>
      <c r="AB14" s="67">
        <f>IF((($C14=$C$8)*($AA$8="x"))+(($C14=$C$9)*($AA$9="x"))+(($C14=$C$10)*($AA$10="x"))+(($C14=$C$11)*($AA$11="x")), WORKDAY.INTL(Z14,SUM($AA$4,AA14),1,holidays!A$4:A$1503),Z14)</f>
        <v>44917</v>
      </c>
      <c r="AD14" s="67">
        <f>IF((($C14=$C$8)*($AC$8="x"))+(($C14=$C$9)*($AC$9="x"))+(($C14=$C$10)*($AC$10="x"))+(($C14=$C$11)*($AC$11="x")), WORKDAY.INTL(AB14,SUM($AC$4,AC14),1,holidays!A$4:A$1503),AB14)</f>
        <v>44928</v>
      </c>
      <c r="AF14" s="67">
        <f>IF((($C14=$C$8)*($AE$8="x"))+(($C14=$C$9)*($AE$9="x"))+(($C14=$C$10)*($AE$10="x"))+(($C14=$C$11)*($AE$11="x")), WORKDAY.INTL(AD14,SUM($AE$4,AE14),1,holidays!A$4:A$1503),AD14)</f>
        <v>44929</v>
      </c>
      <c r="AH14" s="67">
        <f>IF((($C14=$C$8)*($AG$8="x"))+(($C14=$C$9)*($AG$9="x"))+(($C14=$C$10)*($AG$10="x"))+(($C14=$C$11)*($AG$11="x")), WORKDAY.INTL(AF14,SUM($AG$4,AG14),1,holidays!A$4:A$1503),AF14)</f>
        <v>44929</v>
      </c>
      <c r="AJ14" s="67">
        <f>IF((($C14=$C$8)*($AI$8="x"))+(($C14=$C$9)*($AI$9="x"))+(($C14=$C$10)*($AI$10="x"))+(($C14=$C$11)*($AI$11="x")), WORKDAY.INTL(AH14,SUM($AI$4,AI14),1,holidays!A$4:A$1503),AH14)</f>
        <v>44929</v>
      </c>
      <c r="AL14" s="67">
        <f>IF((($C14=$C$8)*($AK$8="x"))+(($C14=$C$9)*($AK$9="x"))+(($C14=$C$10)*($AK$10="x"))+(($C14=$C$11)*($AK$11="x")), WORKDAY.INTL(AJ14,SUM($AK$4,AK14),1,holidays!A$4:A$1503),AJ14)</f>
        <v>44929</v>
      </c>
      <c r="AN14" s="17">
        <f>IF((($C14=$C$8)*($AM$8="x"))+(($C14=$C$9)*($AM$9="x"))+(($C14=$C$10)*($AM$10="x"))+(($C14=$C$11)*($AM$11="x")), WORKDAY.INTL(AL14,SUM($AM$4,AM14),1,holidays!A$4:A$1503),AL14)</f>
        <v>44929</v>
      </c>
      <c r="AP14" s="17">
        <f>IF((($C14=$C$8)*($AO$8="x"))+(($C14=$C$9)*($AO$9="x"))+(($C14=$C$10)*($AO$10="x"))+(($C14=$C$11)*($AO$11="x")), WORKDAY.INTL(AN14,SUM($AO$4,AO14),1,holidays!A$4:A$1503),AN14)</f>
        <v>44929</v>
      </c>
      <c r="AR14" s="17">
        <f>IF((($C14=$C$8)*($AQ$8="x"))+(($C14=$C$9)*($AQ$9="x"))+(($C14=$C$10)*($AQ$10="x"))+(($C14=$C$11)*($AQ$11="x")), WORKDAY.INTL(AP14,SUM($AQ$4,AQ14),1,holidays!A$4:A$1503),AP14)</f>
        <v>44929</v>
      </c>
      <c r="AT14" s="17">
        <f>IF((($C14=$C$8)*($AS$8="x"))+(($C14=$C$9)*($AS$9="x"))+(($C14=$C$10)*($AS$10="x"))+(($C14=$C$11)*($AS$11="x")), WORKDAY.INTL(AR14,SUM($AS$4,AS14),1,holidays!A$4:A$1503),AR14)</f>
        <v>44929</v>
      </c>
      <c r="AV14" s="116">
        <f>IF((($C14=$C$8)*($AU$8="x"))+(($C14=$C$9)*($AU$9="x"))+(($C14=$C$10)*($AU$10="x"))+(($C14=$C$11)*($AU$11="x")), WORKDAY.INTL(AT14,SUM($AU$4,AU14),1,holidays!C$4:C$1503),AT14)</f>
        <v>44929</v>
      </c>
      <c r="AW14" s="29"/>
      <c r="AX14" s="29"/>
      <c r="AY14" s="29"/>
      <c r="AZ14" s="29"/>
      <c r="BA14" s="29"/>
      <c r="BB14" s="29"/>
      <c r="BC14" s="29"/>
      <c r="BD14" s="29"/>
      <c r="BE14" s="29"/>
      <c r="BF14" s="29"/>
      <c r="BG14" s="29"/>
      <c r="BH14" s="29"/>
      <c r="BI14" s="29"/>
      <c r="BJ14" s="29"/>
      <c r="BK14" s="29"/>
      <c r="BL14" s="29"/>
      <c r="BM14" s="18"/>
    </row>
    <row r="15" spans="1:65" s="15" customFormat="1" ht="18.600000000000001">
      <c r="A15" s="65" t="s">
        <v>5</v>
      </c>
      <c r="B15" s="66" t="str">
        <f>'[1]information-Java'!A9</f>
        <v>TOLEDO MEGCHUN, ANDRES</v>
      </c>
      <c r="C15" s="122" t="str">
        <f>'[1]information-Java'!$D$8</f>
        <v>JR</v>
      </c>
      <c r="D15" s="16">
        <f>'[1]information-Java'!B9</f>
        <v>44900</v>
      </c>
      <c r="E15" s="16">
        <f t="shared" ref="E15:E16" si="0">L15</f>
        <v>44910</v>
      </c>
      <c r="F15" s="16">
        <f>AT15</f>
        <v>44943</v>
      </c>
      <c r="G15" s="16"/>
      <c r="H15" s="16">
        <f>IF((($C15=$C$8)*($G$8="x"))+(($C15=$C$9)*($G$9="x"))+(($C15=$C$10)*($G$10="x"))+(($C15=$C$11)*($G$11="x")), WORKDAY.INTL(D15,SUM($H$4,G15),1,holidays!A$4:A$1503),D15)</f>
        <v>44902</v>
      </c>
      <c r="I15" s="16"/>
      <c r="J15" s="16" cm="1">
        <f t="array" ref="J15">IF((($C15=$C$8)*($I$8:$I$8="x"))+(($C15=$C$9)*($I$9:$I$9="x"))+(($C15=$C$10)*($I$10:$I$10="x"))+(($C15=$C$11)*($I$11:$I$11="x")), WORKDAY.INTL(H15,SUM($J$4,I15),1,holidays!A$4:A$1503),H15)</f>
        <v>44908</v>
      </c>
      <c r="K15" s="16"/>
      <c r="L15" s="16">
        <f>IF((($C15=$C$8)*($K$8="x"))+(($C15=$C$9)*($K$9="x"))+(($C15=$C$10)*($K$10="x"))+(($C15=$C$11)*($K$11="x")), WORKDAY.INTL(J15,SUM($L$4,K15),1,holidays!A$4:A$1503),J15)</f>
        <v>44910</v>
      </c>
      <c r="N15" s="67">
        <f>IF((($C15=$C$8)*($M$8="x"))+(($C15=$C$9)*($M$9="x"))+(($C15=$C$10)*($M$10="x"))+(($C15=$C$11)*($M$11="x")), WORKDAY.INTL(IF($A15="N",$L15,$E15),SUM($N$4,M15),1,holidays!A$4:A$1503),IF($A15="N",$L15,$E15))</f>
        <v>44915</v>
      </c>
      <c r="P15" s="67">
        <f>IF((($C15=$C$8)*($O$8="x"))+(($C15=$C$9)*($O$9="x"))+(($C15=$C$10)*($O$10="x"))+(($C15=$C$11)*($O$11="x")), WORKDAY.INTL(N15,SUM($O$4,O15),1,holidays!A$4:A$1503),N15)</f>
        <v>44917</v>
      </c>
      <c r="R15" s="67">
        <f>IF((($C15=$C$8)*($Q$8="x"))+(($C15=$C$9)*($Q$9="x"))+(($C15=$C$10)*($Q$10="x"))+(($C15=$C$11)*($Q$11="x")), WORKDAY.INTL(P15,SUM($Q$4,Q15),1,holidays!A$4:A$1503),P15)</f>
        <v>44918</v>
      </c>
      <c r="T15" s="17">
        <f>IF((($C15=$C$8)*($S$8="x"))+(($C15=$C$9)*($S$9="x"))+(($C15=$C$10)*($S$10="x"))+(($C15=$C$11)*($S$11="x")), WORKDAY.INTL(R15,SUM($S$4,S15),1,holidays!A$4:A$1503),R15)</f>
        <v>44918</v>
      </c>
      <c r="V15" s="67">
        <f>IF((($C15=$C$8)*($U$8="x"))+(($C15=$C$9)*($U$9="x"))+(($C15=$C$10)*($U$10="x"))+(($C15=$C$11)*($U$11="x")), WORKDAY.INTL(T15,SUM($U$4,U15),1,holidays!A$4:A$1503),T15)</f>
        <v>44928</v>
      </c>
      <c r="X15" s="17">
        <f>IF((($C15=$C$8)*($W$8="x"))+(($C15=$C$9)*($W$9="x"))+(($C15=$C$10)*($W$10="x"))+(($C15=$C$11)*($W$11="x")), WORKDAY.INTL(V15,SUM($W$4,W15),1,holidays!A$4:A$1503),V15)</f>
        <v>44928</v>
      </c>
      <c r="Y15" s="15">
        <v>3</v>
      </c>
      <c r="Z15" s="67">
        <f>IF((($C15=$C$8)*($Y$8="x"))+(($C15=$C$9)*($Y$9="x"))+(($C15=$C$10)*($Y$10="x"))+(($C15=$C$11)*($Y$11="x")), WORKDAY.INTL(X15,SUM($Y$4,Y15),1,holidays!A$4:A$1503),X15)</f>
        <v>44937</v>
      </c>
      <c r="AA15" s="15">
        <v>1</v>
      </c>
      <c r="AB15" s="67">
        <f>IF((($C15=$C$8)*($AA$8="x"))+(($C15=$C$9)*($AA$9="x"))+(($C15=$C$10)*($AA$10="x"))+(($C15=$C$11)*($AA$11="x")), WORKDAY.INTL(Z15,SUM($AA$4,AA15),1,holidays!A$4:A$1503),Z15)</f>
        <v>44938</v>
      </c>
      <c r="AD15" s="67">
        <f>IF((($C15=$C$8)*($AC$8="x"))+(($C15=$C$9)*($AC$9="x"))+(($C15=$C$10)*($AC$10="x"))+(($C15=$C$11)*($AC$11="x")), WORKDAY.INTL(AB15,SUM($AC$4,AC15),1,holidays!A$4:A$1503),AB15)</f>
        <v>44942</v>
      </c>
      <c r="AF15" s="67">
        <f>IF((($C15=$C$8)*($AE$8="x"))+(($C15=$C$9)*($AE$9="x"))+(($C15=$C$10)*($AE$10="x"))+(($C15=$C$11)*($AE$11="x")), WORKDAY.INTL(AD15,SUM($AE$4,AE15),1,holidays!A$4:A$1503),AD15)</f>
        <v>44943</v>
      </c>
      <c r="AH15" s="68">
        <f>IF((($C15=$C$8)*($AG$8="x"))+(($C15=$C$9)*($AG$9="x"))+(($C15=$C$10)*($AG$10="x"))+(($C15=$C$11)*($AG$11="x")), WORKDAY.INTL(AF15,SUM($AG$4,AG15),1,holidays!A$4:A$1503),AF15)</f>
        <v>44943</v>
      </c>
      <c r="AJ15" s="17">
        <f>IF((($C15=$C$8)*($AI$8="x"))+(($C15=$C$9)*($AI$9="x"))+(($C15=$C$10)*($AI$10="x"))+(($C15=$C$11)*($AI$11="x")), WORKDAY.INTL(AH15,SUM($AI$4,AI15),1,holidays!A$4:A$1503),AH15)</f>
        <v>44943</v>
      </c>
      <c r="AL15" s="17">
        <f>IF((($C15=$C$8)*($AK$8="x"))+(($C15=$C$9)*($AK$9="x"))+(($C15=$C$10)*($AK$10="x"))+(($C15=$C$11)*($AK$11="x")), WORKDAY.INTL(AJ15,SUM($AK$4,AK15),1,holidays!A$4:A$1503),AJ15)</f>
        <v>44943</v>
      </c>
      <c r="AN15" s="17">
        <f>IF((($C15=$C$8)*($AM$8="x"))+(($C15=$C$9)*($AM$9="x"))+(($C15=$C$10)*($AM$10="x"))+(($C15=$C$11)*($AM$11="x")), WORKDAY.INTL(AL15,SUM($AM$4,AM15),1,holidays!A$4:A$1503),AL15)</f>
        <v>44943</v>
      </c>
      <c r="AP15" s="17">
        <f>IF((($C15=$C$8)*($AO$8="x"))+(($C15=$C$9)*($AO$9="x"))+(($C15=$C$10)*($AO$10="x"))+(($C15=$C$11)*($AO$11="x")), WORKDAY.INTL(AN15,SUM($AO$4,AO15),1,holidays!A$4:A$1503),AN15)</f>
        <v>44943</v>
      </c>
      <c r="AR15" s="17">
        <f>IF((($C15=$C$8)*($AQ$8="x"))+(($C15=$C$9)*($AQ$9="x"))+(($C15=$C$10)*($AQ$10="x"))+(($C15=$C$11)*($AQ$11="x")), WORKDAY.INTL(AP15,SUM($AQ$4,AQ15),1,holidays!A$4:A$1503),AP15)</f>
        <v>44943</v>
      </c>
      <c r="AT15" s="17">
        <f>IF((($C15=$C$8)*($AS$8="x"))+(($C15=$C$9)*($AS$9="x"))+(($C15=$C$10)*($AS$10="x"))+(($C15=$C$11)*($AS$11="x")), WORKDAY.INTL(AR15,SUM($AS$4,AS15),1,holidays!A$4:A$1503),AR15)</f>
        <v>44943</v>
      </c>
      <c r="AV15" s="116">
        <f>IF((($C15=$C$8)*($AU$8="x"))+(($C15=$C$9)*($AU$9="x"))+(($C15=$C$10)*($AU$10="x"))+(($C15=$C$11)*($AU$11="x")), WORKDAY.INTL(AT15,SUM($AU$4,AU15),1,holidays!C$4:C$1503),AT15)</f>
        <v>44943</v>
      </c>
      <c r="AW15" s="29"/>
      <c r="AX15" s="29"/>
      <c r="AY15" s="29"/>
      <c r="AZ15" s="29"/>
      <c r="BA15" s="29"/>
      <c r="BB15" s="29"/>
      <c r="BC15" s="29"/>
      <c r="BD15" s="29"/>
      <c r="BE15" s="29"/>
      <c r="BF15" s="29"/>
      <c r="BG15" s="29"/>
      <c r="BH15" s="29"/>
      <c r="BI15" s="29"/>
      <c r="BJ15" s="29"/>
      <c r="BK15" s="29"/>
      <c r="BL15" s="29"/>
      <c r="BM15" s="18"/>
    </row>
    <row r="16" spans="1:65" s="21" customFormat="1" ht="18.600000000000001">
      <c r="A16" s="29" t="s">
        <v>5</v>
      </c>
      <c r="B16" s="69" t="str">
        <f>'[1]information-Java'!A10</f>
        <v>RICO CAMACHO, JORGE ALBERTO</v>
      </c>
      <c r="C16" s="122" t="s">
        <v>78</v>
      </c>
      <c r="D16" s="17">
        <v>44908</v>
      </c>
      <c r="E16" s="16">
        <f t="shared" si="0"/>
        <v>44929</v>
      </c>
      <c r="F16" s="16">
        <f>AT16</f>
        <v>44963</v>
      </c>
      <c r="G16" s="16"/>
      <c r="H16" s="16">
        <f>IF((($C16=$C$8)*($G$8="x"))+(($C16=$C$9)*($G$9="x"))+(($C16=$C$10)*($G$10="x"))+(($C16=$C$11)*($G$11="x")), WORKDAY.INTL(D16,SUM($H$4,G16),1,holidays!A$4:A$1503),D16)</f>
        <v>44910</v>
      </c>
      <c r="I16" s="70">
        <v>1</v>
      </c>
      <c r="J16" s="16" cm="1">
        <f t="array" ref="J16">IF((($C16=$C$8)*($I$8:$I$8="x"))+(($C16=$C$9)*($I$9:$I$9="x"))+(($C16=$C$10)*($I$10:$I$10="x"))+(($C16=$C$11)*($I$11:$I$11="x")), WORKDAY.INTL(H16,SUM($J$4,I16),1,holidays!A$4:A$1503),H16)</f>
        <v>44916</v>
      </c>
      <c r="K16" s="70">
        <v>2</v>
      </c>
      <c r="L16" s="16">
        <f>IF((($C16=$C$8)*($K$8="x"))+(($C16=$C$9)*($K$9="x"))+(($C16=$C$10)*($K$10="x"))+(($C16=$C$11)*($K$11="x")), WORKDAY.INTL(J16,SUM($L$4,K16),1,holidays!A$4:A$1503),J16)</f>
        <v>44929</v>
      </c>
      <c r="M16" s="19"/>
      <c r="N16" s="67">
        <f>IF((($C16=$C$8)*($M$8="x"))+(($C16=$C$9)*($M$9="x"))+(($C16=$C$10)*($M$10="x"))+(($C16=$C$11)*($M$11="x")), WORKDAY.INTL(IF($A16="N",$L16,$E16),SUM($N$4,M16),1,holidays!A$4:A$1503),IF($A16="N",$L16,$E16))</f>
        <v>44929</v>
      </c>
      <c r="O16" s="19"/>
      <c r="P16" s="67">
        <f>IF((($C16=$C$8)*($O$8="x"))+(($C16=$C$9)*($O$9="x"))+(($C16=$C$10)*($O$10="x"))+(($C16=$C$11)*($O$11="x")), WORKDAY.INTL(N16,SUM($O$4,O16),1,holidays!A$4:A$1503),N16)</f>
        <v>44929</v>
      </c>
      <c r="Q16" s="19"/>
      <c r="R16" s="67">
        <f>IF((($C16=$C$8)*($Q$8="x"))+(($C16=$C$9)*($Q$9="x"))+(($C16=$C$10)*($Q$10="x"))+(($C16=$C$11)*($Q$11="x")), WORKDAY.INTL(P16,SUM($Q$4,Q16),1,holidays!A$4:A$1503),P16)</f>
        <v>44930</v>
      </c>
      <c r="S16" s="19"/>
      <c r="T16" s="17">
        <f>IF((($C16=$C$8)*($S$8="x"))+(($C16=$C$9)*($S$9="x"))+(($C16=$C$10)*($S$10="x"))+(($C16=$C$11)*($S$11="x")), WORKDAY.INTL(R16,SUM($S$4,S16),1,holidays!A$4:A$1503),R16)</f>
        <v>44930</v>
      </c>
      <c r="U16" s="15"/>
      <c r="V16" s="67">
        <f>IF((($C16=$C$8)*($U$8="x"))+(($C16=$C$9)*($U$9="x"))+(($C16=$C$10)*($U$10="x"))+(($C16=$C$11)*($U$11="x")), WORKDAY.INTL(T16,SUM($U$4,U16),1,holidays!A$4:A$1503),T16)</f>
        <v>44930</v>
      </c>
      <c r="W16" s="15"/>
      <c r="X16" s="17">
        <f>IF((($C16=$C$8)*($W$8="x"))+(($C16=$C$9)*($W$9="x"))+(($C16=$C$10)*($W$10="x"))+(($C16=$C$11)*($W$11="x")), WORKDAY.INTL(V16,SUM($W$4,W16),1,holidays!A$4:A$1503),V16)</f>
        <v>44930</v>
      </c>
      <c r="Y16" s="15"/>
      <c r="Z16" s="67">
        <f>IF((($C16=$C$8)*($Y$8="x"))+(($C16=$C$9)*($Y$9="x"))+(($C16=$C$10)*($Y$10="x"))+(($C16=$C$11)*($Y$11="x")), WORKDAY.INTL(X16,SUM($Y$4,Y16),1,holidays!A$4:A$1503),X16)</f>
        <v>44936</v>
      </c>
      <c r="AA16" s="15"/>
      <c r="AB16" s="67">
        <f>IF((($C16=$C$8)*($AA$8="x"))+(($C16=$C$9)*($AA$9="x"))+(($C16=$C$10)*($AA$10="x"))+(($C16=$C$11)*($AA$11="x")), WORKDAY.INTL(Z16,SUM($AA$4,AA16),1,holidays!A$4:A$1503),Z16)</f>
        <v>44936</v>
      </c>
      <c r="AC16" s="15"/>
      <c r="AD16" s="67">
        <f>IF((($C16=$C$8)*($AC$8="x"))+(($C16=$C$9)*($AC$9="x"))+(($C16=$C$10)*($AC$10="x"))+(($C16=$C$11)*($AC$11="x")), WORKDAY.INTL(AB16,SUM($AC$4,AC16),1,holidays!A$4:A$1503),AB16)</f>
        <v>44938</v>
      </c>
      <c r="AE16" s="15"/>
      <c r="AF16" s="67">
        <f>IF((($C16=$C$8)*($AE$8="x"))+(($C16=$C$9)*($AE$9="x"))+(($C16=$C$10)*($AE$10="x"))+(($C16=$C$11)*($AE$11="x")), WORKDAY.INTL(AD16,SUM($AE$4,AE16),1,holidays!A$4:A$1503),AD16)</f>
        <v>44939</v>
      </c>
      <c r="AG16" s="15">
        <v>1</v>
      </c>
      <c r="AH16" s="71">
        <f>IF((($C16=$C$8)*($AG$8="x"))+(($C16=$C$9)*($AG$9="x"))+(($C16=$C$10)*($AG$10="x"))+(($C16=$C$11)*($AG$11="x")), WORKDAY.INTL(AF16,SUM($AG$4,AG16),1,holidays!A$4:A$1503),AF16)</f>
        <v>44942</v>
      </c>
      <c r="AI16" s="72"/>
      <c r="AJ16" s="67">
        <f>IF((($C16=$C$8)*($AI$8="x"))+(($C16=$C$9)*($AI$9="x"))+(($C16=$C$10)*($AI$10="x"))+(($C16=$C$11)*($AI$11="x")), WORKDAY.INTL(AH16,SUM($AI$4,AI16),1,holidays!A$4:A$1503),AH16)</f>
        <v>44946</v>
      </c>
      <c r="AK16" s="72"/>
      <c r="AL16" s="67">
        <f>IF((($C16=$C$8)*($AK$8="x"))+(($C16=$C$9)*($AK$9="x"))+(($C16=$C$10)*($AK$10="x"))+(($C16=$C$11)*($AK$11="x")), WORKDAY.INTL(AJ16,SUM($AK$4,AK16),1,holidays!A$4:A$1503),AJ16)</f>
        <v>44951</v>
      </c>
      <c r="AM16" s="15">
        <v>1</v>
      </c>
      <c r="AN16" s="17">
        <f>IF((($C16=$C$8)*($AM$8="x"))+(($C16=$C$9)*($AM$9="x"))+(($C16=$C$10)*($AM$10="x"))+(($C16=$C$11)*($AM$11="x")), WORKDAY.INTL(AL16,SUM($AM$4,AM16),1,holidays!A$4:A$1503),AL16)</f>
        <v>44952</v>
      </c>
      <c r="AO16" s="15">
        <v>1</v>
      </c>
      <c r="AP16" s="17">
        <f>IF((($C16=$C$8)*($AO$8="x"))+(($C16=$C$9)*($AO$9="x"))+(($C16=$C$10)*($AO$10="x"))+(($C16=$C$11)*($AO$11="x")), WORKDAY.INTL(AN16,SUM($AO$4,AO16),1,holidays!A$4:A$1503),AN16)</f>
        <v>44953</v>
      </c>
      <c r="AQ16" s="15"/>
      <c r="AR16" s="17">
        <f>IF((($C16=$C$8)*($AQ$8="x"))+(($C16=$C$9)*($AQ$9="x"))+(($C16=$C$10)*($AQ$10="x"))+(($C16=$C$11)*($AQ$11="x")), WORKDAY.INTL(AP16,SUM($AQ$4,AQ16),1,holidays!A$4:A$1503),AP16)</f>
        <v>44957</v>
      </c>
      <c r="AS16" s="15"/>
      <c r="AT16" s="17">
        <f>IF((($C16=$C$8)*($AS$8="x"))+(($C16=$C$9)*($AS$9="x"))+(($C16=$C$10)*($AS$10="x"))+(($C16=$C$11)*($AS$11="x")), WORKDAY.INTL(AR16,SUM($AS$4,AS16),1,holidays!A$4:A$1503),AR16)</f>
        <v>44963</v>
      </c>
      <c r="AU16" s="15"/>
      <c r="AV16" s="116" t="e">
        <f>IF((($C16=$C$8)*($AU$8="x"))+(($C16=$C$9)*($AU$9="x"))+(($C16=$C$10)*($AU$10="x"))+(($C16=$C$11)*($AU$11="x")), WORKDAY.INTL(AT16,SUM($AU$4,AU16),1,holidays!C$4:C$1503),AT16)</f>
        <v>#VALUE!</v>
      </c>
      <c r="AW16" s="29"/>
      <c r="AX16" s="29"/>
      <c r="AY16" s="29"/>
      <c r="AZ16" s="29"/>
      <c r="BA16" s="29"/>
      <c r="BB16" s="29"/>
      <c r="BC16" s="29"/>
      <c r="BD16" s="29"/>
      <c r="BE16" s="29"/>
      <c r="BF16" s="29"/>
      <c r="BG16" s="29"/>
      <c r="BH16" s="29"/>
      <c r="BI16" s="29"/>
      <c r="BJ16" s="29"/>
      <c r="BK16" s="29"/>
      <c r="BL16" s="29"/>
      <c r="BM16" s="20"/>
    </row>
    <row r="17" spans="1:65" ht="15.6">
      <c r="A17" s="29"/>
      <c r="B17" s="18"/>
      <c r="C17" s="123"/>
      <c r="D17" s="15"/>
      <c r="E17" s="16"/>
      <c r="F17" s="16"/>
      <c r="G17" s="15"/>
      <c r="H17" s="16"/>
      <c r="I17" s="15"/>
      <c r="J17" s="16"/>
      <c r="K17" s="15"/>
      <c r="L17" s="16"/>
      <c r="M17" s="19"/>
      <c r="N17" s="67"/>
      <c r="O17" s="19"/>
      <c r="P17" s="17"/>
      <c r="Q17" s="19"/>
      <c r="R17" s="17" t="s">
        <v>85</v>
      </c>
      <c r="S17" s="19"/>
      <c r="T17" s="17"/>
      <c r="U17" s="15"/>
      <c r="V17" s="17"/>
      <c r="W17" s="15"/>
      <c r="X17" s="17"/>
      <c r="Y17" s="15"/>
      <c r="Z17" s="17" t="s">
        <v>85</v>
      </c>
      <c r="AA17" s="15"/>
      <c r="AB17" s="17" t="s">
        <v>85</v>
      </c>
      <c r="AC17" s="15"/>
      <c r="AD17" s="73"/>
      <c r="AE17" s="15"/>
      <c r="AF17" s="73"/>
      <c r="AG17" s="15"/>
      <c r="AH17" s="73"/>
      <c r="AI17" s="15"/>
      <c r="AJ17" s="17" t="s">
        <v>86</v>
      </c>
      <c r="AK17" s="15"/>
      <c r="AL17" s="17" t="s">
        <v>87</v>
      </c>
      <c r="AM17" s="15"/>
      <c r="AN17" s="73"/>
      <c r="AO17" s="15"/>
      <c r="AP17" s="73"/>
      <c r="AQ17" s="15"/>
      <c r="AR17" s="73"/>
      <c r="AS17" s="15"/>
      <c r="AT17" s="73"/>
      <c r="AU17" s="15"/>
      <c r="AV17" s="116">
        <f>IF((($C17=$C$8)*($AU$8="x"))+(($C17=$C$9)*($AU$9="x"))+(($C17=$C$10)*($AU$10="x"))+(($C17=$C$11)*($AU$11="x")), WORKDAY.INTL(AT17,SUM($AU$4,AU17),1,holidays!C$4:C$1503),AT17)</f>
        <v>0</v>
      </c>
      <c r="AW17" s="29"/>
      <c r="AX17" s="29"/>
      <c r="AY17" s="29"/>
      <c r="AZ17" s="29"/>
      <c r="BA17" s="29"/>
      <c r="BB17" s="29"/>
      <c r="BC17" s="29"/>
      <c r="BD17" s="29"/>
      <c r="BE17" s="29"/>
      <c r="BF17" s="29"/>
      <c r="BG17" s="29"/>
      <c r="BH17" s="29"/>
      <c r="BI17" s="29"/>
      <c r="BJ17" s="29"/>
      <c r="BK17" s="29"/>
      <c r="BL17" s="29"/>
    </row>
    <row r="18" spans="1:65">
      <c r="A18" s="29"/>
      <c r="B18" s="18"/>
      <c r="C18" s="123"/>
      <c r="D18" s="15"/>
      <c r="E18" s="16"/>
      <c r="F18" s="16"/>
      <c r="G18" s="15"/>
      <c r="H18" s="16"/>
      <c r="I18" s="15"/>
      <c r="J18" s="16"/>
      <c r="K18" s="15"/>
      <c r="L18" s="16"/>
      <c r="M18" s="15"/>
      <c r="N18" s="67"/>
      <c r="O18" s="15"/>
      <c r="P18" s="68"/>
      <c r="Q18" s="15"/>
      <c r="R18" s="17"/>
      <c r="S18" s="15"/>
      <c r="T18" s="17"/>
      <c r="U18" s="15"/>
      <c r="V18" s="17"/>
      <c r="W18" s="15"/>
      <c r="X18" s="17"/>
      <c r="Y18" s="15"/>
      <c r="Z18" s="17"/>
      <c r="AA18" s="15"/>
      <c r="AB18" s="17"/>
      <c r="AC18" s="15"/>
      <c r="AD18" s="17"/>
      <c r="AE18" s="15"/>
      <c r="AF18" s="17"/>
      <c r="AG18" s="15"/>
      <c r="AH18" s="17"/>
      <c r="AI18" s="15"/>
      <c r="AJ18" s="17"/>
      <c r="AK18" s="15"/>
      <c r="AL18" s="17"/>
      <c r="AM18" s="15"/>
      <c r="AN18" s="17"/>
      <c r="AO18" s="15"/>
      <c r="AP18" s="17"/>
      <c r="AQ18" s="15"/>
      <c r="AR18" s="17"/>
      <c r="AS18" s="15"/>
      <c r="AT18" s="17"/>
      <c r="AU18" s="15"/>
      <c r="AV18" s="116">
        <f>IF((($C18=$C$8)*($AU$8="x"))+(($C18=$C$9)*($AU$9="x"))+(($C18=$C$10)*($AU$10="x"))+(($C18=$C$11)*($AU$11="x")), WORKDAY.INTL(AT18,SUM($AU$4,AU18),1,holidays!C$4:C$1503),AT18)</f>
        <v>0</v>
      </c>
      <c r="AW18" s="29"/>
      <c r="AX18" s="29"/>
      <c r="AY18" s="29"/>
      <c r="AZ18" s="29"/>
      <c r="BA18" s="29"/>
      <c r="BB18" s="29"/>
      <c r="BC18" s="29"/>
      <c r="BD18" s="29"/>
      <c r="BE18" s="29"/>
      <c r="BF18" s="29"/>
      <c r="BG18" s="29"/>
      <c r="BH18" s="29"/>
      <c r="BI18" s="29"/>
      <c r="BJ18" s="29"/>
      <c r="BK18" s="29"/>
      <c r="BL18" s="29"/>
    </row>
    <row r="19" spans="1:65" ht="18.600000000000001">
      <c r="A19" s="30" t="s">
        <v>7</v>
      </c>
      <c r="B19" s="69" t="s">
        <v>88</v>
      </c>
      <c r="C19" s="122" t="s">
        <v>77</v>
      </c>
      <c r="D19" s="17"/>
      <c r="E19" s="17">
        <v>44928</v>
      </c>
      <c r="F19" s="16">
        <f>AT19</f>
        <v>44971</v>
      </c>
      <c r="G19" s="15"/>
      <c r="H19" s="16">
        <f>IF((($C19=$C$8)*($G$8="x"))+(($C19=$C$9)*($G$9="x"))+(($C19=$C$10)*($G$10="x"))+(($C19=$C$11)*($G$11="x")), WORKDAY.INTL(D19,SUM($H$4,G19),1,holidays!A$4:A$1503),D19)</f>
        <v>3</v>
      </c>
      <c r="I19" s="24"/>
      <c r="J19" s="16" cm="1">
        <f t="array" ref="J19">IF((($C19=$C$8)*($I$8:$I$8="x"))+(($C19=$C$9)*($I$9:$I$9="x"))+(($C19=$C$10)*($I$10:$I$10="x"))+(($C19=$C$11)*($I$11:$I$11="x")), WORKDAY.INTL(H19,SUM($J$4,I19),1,holidays!A$4:A$1503),H19)</f>
        <v>6</v>
      </c>
      <c r="K19" s="24"/>
      <c r="L19" s="16">
        <f>IF((($C19=$C$8)*($K$8="x"))+(($C19=$C$9)*($K$9="x"))+(($C19=$C$10)*($K$10="x"))+(($C19=$C$11)*($K$11="x")), WORKDAY.INTL(J19,SUM($L$4,K19),1,holidays!A$4:A$1503),J19)</f>
        <v>10</v>
      </c>
      <c r="M19" s="15">
        <v>1</v>
      </c>
      <c r="N19" s="67">
        <f>IF((($C19=$C$8)*($M$8="x"))+(($C19=$C$9)*($M$9="x"))+(($C19=$C$10)*($M$10="x"))+(($C19=$C$11)*($M$11="x")), WORKDAY.INTL(IF($A19="N",$L19,$E19),SUM($N$4,M19),1,holidays!A$4:A$1503),IF($A19="N",$L19,$E19))</f>
        <v>44935</v>
      </c>
      <c r="O19" s="15"/>
      <c r="P19" s="71">
        <f>IF((($C19=$C$8)*($O$8="x"))+(($C19=$C$9)*($O$9="x"))+(($C19=$C$10)*($O$10="x"))+(($C19=$C$11)*($O$11="x")), WORKDAY.INTL(N19,SUM($O$4,O19),1,holidays!A$4:A$1503),N19)</f>
        <v>44937</v>
      </c>
      <c r="Q19" s="15"/>
      <c r="R19" s="67">
        <f>IF((($C19=$C$8)*($Q$8="x"))+(($C19=$C$9)*($Q$9="x"))+(($C19=$C$10)*($Q$10="x"))+(($C19=$C$11)*($Q$11="x")), WORKDAY.INTL(P19,SUM($Q$4,Q19),1,holidays!A$4:A$1503),P19)</f>
        <v>44938</v>
      </c>
      <c r="S19" s="15"/>
      <c r="T19" s="17">
        <f>IF((($C19=$C$8)*($S$8="x"))+(($C19=$C$9)*($S$9="x"))+(($C19=$C$10)*($S$10="x"))+(($C19=$C$11)*($S$11="x")), WORKDAY.INTL(R19,SUM($S$4,S19),1,holidays!A$4:A$1503),R19)</f>
        <v>44938</v>
      </c>
      <c r="U19" s="15"/>
      <c r="V19" s="67">
        <f>IF((($C19=$C$8)*($U$8="x"))+(($C19=$C$9)*($U$9="x"))+(($C19=$C$10)*($U$10="x"))+(($C19=$C$11)*($U$11="x")), WORKDAY.INTL(T19,SUM($U$4,U19),1,holidays!A$4:A$1503),T19)</f>
        <v>44939</v>
      </c>
      <c r="W19" s="15"/>
      <c r="X19" s="17">
        <f>IF((($C19=$C$8)*($W$8="x"))+(($C19=$C$9)*($W$9="x"))+(($C19=$C$10)*($W$10="x"))+(($C19=$C$11)*($W$11="x")), WORKDAY.INTL(V19,SUM($W$4,W19),1,holidays!A$4:A$1503),V19)</f>
        <v>44939</v>
      </c>
      <c r="Y19" s="15"/>
      <c r="Z19" s="67">
        <f>IF((($C19=$C$8)*($Y$8="x"))+(($C19=$C$9)*($Y$9="x"))+(($C19=$C$10)*($Y$10="x"))+(($C19=$C$11)*($Y$11="x")), WORKDAY.INTL(X19,SUM($Y$4,Y19),1,holidays!A$4:A$1503),X19)</f>
        <v>44944</v>
      </c>
      <c r="AA19" s="15">
        <v>1</v>
      </c>
      <c r="AB19" s="67">
        <f>IF((($C19=$C$8)*($AA$8="x"))+(($C19=$C$9)*($AA$9="x"))+(($C19=$C$10)*($AA$10="x"))+(($C19=$C$11)*($AA$11="x")), WORKDAY.INTL(Z19,SUM($AA$4,AA19),1,holidays!A$4:A$1503),Z19)</f>
        <v>44945</v>
      </c>
      <c r="AC19" s="15"/>
      <c r="AD19" s="67">
        <f>IF((($C19=$C$8)*($AC$8="x"))+(($C19=$C$9)*($AC$9="x"))+(($C19=$C$10)*($AC$10="x"))+(($C19=$C$11)*($AC$11="x")), WORKDAY.INTL(AB19,SUM($AC$4,AC19),1,holidays!A$4:A$1503),AB19)</f>
        <v>44949</v>
      </c>
      <c r="AE19" s="15"/>
      <c r="AF19" s="67">
        <f>IF((($C19=$C$8)*($AE$8="x"))+(($C19=$C$9)*($AE$9="x"))+(($C19=$C$10)*($AE$10="x"))+(($C19=$C$11)*($AE$11="x")), WORKDAY.INTL(AD19,SUM($AE$4,AE19),1,holidays!A$4:A$1503),AD19)</f>
        <v>44950</v>
      </c>
      <c r="AG19" s="15">
        <v>1</v>
      </c>
      <c r="AH19" s="67">
        <f>IF((($C19=$C$8)*($AG$8="x"))+(($C19=$C$9)*($AG$9="x"))+(($C19=$C$10)*($AG$10="x"))+(($C19=$C$11)*($AG$11="x")), WORKDAY.INTL(AF19,SUM($AG$4,AG19),1,holidays!A$4:A$1503),AF19)</f>
        <v>44951</v>
      </c>
      <c r="AI19" s="15"/>
      <c r="AJ19" s="73">
        <f>IF((($C19=$C$8)*($AI$8="x"))+(($C19=$C$9)*($AI$9="x"))+(($C19=$C$10)*($AI$10="x"))+(($C19=$C$11)*($AI$11="x")), WORKDAY.INTL(AH19,SUM($AI$4,AI19),1,holidays!A$4:A$1503),AH19)</f>
        <v>44957</v>
      </c>
      <c r="AK19" s="15"/>
      <c r="AL19" s="67">
        <f>IF((($C19=$C$8)*($AK$8="x"))+(($C19=$C$9)*($AK$9="x"))+(($C19=$C$10)*($AK$10="x"))+(($C19=$C$11)*($AK$11="x")), WORKDAY.INTL(AJ19,SUM($AK$4,AK19),1,holidays!A$4:A$1503),AJ19)</f>
        <v>44960</v>
      </c>
      <c r="AM19" s="15"/>
      <c r="AN19" s="28">
        <f>IF((($C19=$C$8)*($AM$8="x"))+(($C19=$C$9)*($AM$9="x"))+(($C19=$C$10)*($AM$10="x"))+(($C19=$C$11)*($AM$11="x")), WORKDAY.INTL(AL19,SUM($AM$4,AM19),1,holidays!A$4:A$1503),AL19)</f>
        <v>44960</v>
      </c>
      <c r="AO19" s="15">
        <v>1</v>
      </c>
      <c r="AP19" s="28">
        <f>IF((($C19=$C$8)*($AO$8="x"))+(($C19=$C$9)*($AO$9="x"))+(($C19=$C$10)*($AO$10="x"))+(($C19=$C$11)*($AO$11="x")), WORKDAY.INTL(AN19,SUM($AO$4,AO19),1,holidays!A$4:A$1503),AN19)</f>
        <v>44963</v>
      </c>
      <c r="AQ19" s="15"/>
      <c r="AR19" s="28">
        <f>IF((($C19=$C$8)*($AQ$8="x"))+(($C19=$C$9)*($AQ$9="x"))+(($C19=$C$10)*($AQ$10="x"))+(($C19=$C$11)*($AQ$11="x")), WORKDAY.INTL(AP19,SUM($AQ$4,AQ19),1,holidays!A$4:A$1503),AP19)</f>
        <v>44965</v>
      </c>
      <c r="AS19" s="15"/>
      <c r="AT19" s="67">
        <f>IF((($C19=$C$8)*($AS$8="x"))+(($C19=$C$9)*($AS$9="x"))+(($C19=$C$10)*($AS$10="x"))+(($C19=$C$11)*($AS$11="x")), WORKDAY.INTL(AR19,SUM($AS$4,AS19),1,holidays!A$4:A$1503),AR19)</f>
        <v>44971</v>
      </c>
      <c r="AU19" s="15"/>
      <c r="AV19" s="116" t="e">
        <f>IF((($C19=$C$8)*($AU$8="x"))+(($C19=$C$9)*($AU$9="x"))+(($C19=$C$10)*($AU$10="x"))+(($C19=$C$11)*($AU$11="x")), WORKDAY.INTL(AT19,SUM($AU$4,AU19),1,holidays!C$4:C$1503),AT19)</f>
        <v>#VALUE!</v>
      </c>
      <c r="AW19" s="110">
        <v>44991</v>
      </c>
      <c r="AX19" s="29"/>
      <c r="AY19" s="29"/>
      <c r="AZ19" s="29"/>
      <c r="BA19" s="29"/>
      <c r="BB19" s="29"/>
      <c r="BC19" s="29"/>
      <c r="BD19" s="29"/>
      <c r="BE19" s="29"/>
      <c r="BF19" s="29"/>
      <c r="BG19" s="29"/>
      <c r="BH19" s="29"/>
      <c r="BI19" s="29"/>
      <c r="BJ19" s="29"/>
      <c r="BK19" s="29"/>
      <c r="BL19" s="29"/>
    </row>
    <row r="20" spans="1:65" ht="18.600000000000001">
      <c r="A20" s="29" t="s">
        <v>7</v>
      </c>
      <c r="B20" s="69" t="s">
        <v>89</v>
      </c>
      <c r="C20" s="122" t="s">
        <v>77</v>
      </c>
      <c r="D20" s="17"/>
      <c r="E20" s="17">
        <v>44928</v>
      </c>
      <c r="F20" s="16">
        <f>AT20</f>
        <v>45014</v>
      </c>
      <c r="G20" s="15"/>
      <c r="H20" s="16">
        <f>IF((($C20=$C$8)*($G$8="x"))+(($C20=$C$9)*($G$9="x"))+(($C20=$C$10)*($G$10="x"))+(($C20=$C$11)*($G$11="x")), WORKDAY.INTL(D20,SUM($H$4,G20),1,holidays!A$4:A$1503),D20)</f>
        <v>3</v>
      </c>
      <c r="I20" s="24"/>
      <c r="J20" s="16" cm="1">
        <f t="array" ref="J20">IF((($C20=$C$8)*($I$8:$I$8="x"))+(($C20=$C$9)*($I$9:$I$9="x"))+(($C20=$C$10)*($I$10:$I$10="x"))+(($C20=$C$11)*($I$11:$I$11="x")), WORKDAY.INTL(H20,SUM($J$4,I20),1,holidays!A$4:A$1503),H20)</f>
        <v>6</v>
      </c>
      <c r="K20" s="24"/>
      <c r="L20" s="16">
        <f>IF((($C20=$C$8)*($K$8="x"))+(($C20=$C$9)*($K$9="x"))+(($C20=$C$10)*($K$10="x"))+(($C20=$C$11)*($K$11="x")), WORKDAY.INTL(J20,SUM($L$4,K20),1,holidays!A$4:A$1503),J20)</f>
        <v>10</v>
      </c>
      <c r="M20" s="15">
        <v>2.12</v>
      </c>
      <c r="N20" s="67">
        <f>IF((($C20=$C$8)*($M$8="x"))+(($C20=$C$9)*($M$9="x"))+(($C20=$C$10)*($M$10="x"))+(($C20=$C$11)*($M$11="x")), WORKDAY.INTL(IF($A20="N",$L20,$E20),SUM($N$4,M20),1,holidays!A$4:A$1503),IF($A20="N",$L20,$E20))</f>
        <v>44936</v>
      </c>
      <c r="O20" s="15">
        <v>2</v>
      </c>
      <c r="P20" s="67">
        <f>IF((($C20=$C$8)*($O$8="x"))+(($C20=$C$9)*($O$9="x"))+(($C20=$C$10)*($O$10="x"))+(($C20=$C$11)*($O$11="x")), WORKDAY.INTL(N20,SUM($O$4,O20),1,holidays!A$4:A$1503),N20)</f>
        <v>44942</v>
      </c>
      <c r="Q20" s="15"/>
      <c r="R20" s="67">
        <f>IF((($C20=$C$8)*($Q$8="x"))+(($C20=$C$9)*($Q$9="x"))+(($C20=$C$10)*($Q$10="x"))+(($C20=$C$11)*($Q$11="x")), WORKDAY.INTL(P20,SUM($Q$4,Q20),1,holidays!A$4:A$1503),P20)</f>
        <v>44943</v>
      </c>
      <c r="S20" s="15"/>
      <c r="T20" s="17">
        <f>IF((($C20=$C$8)*($S$8="x"))+(($C20=$C$9)*($S$9="x"))+(($C20=$C$10)*($S$10="x"))+(($C20=$C$11)*($S$11="x")), WORKDAY.INTL(R20,SUM($S$4,S20),1,holidays!A$4:A$1503),R20)</f>
        <v>44943</v>
      </c>
      <c r="U20" s="15"/>
      <c r="V20" s="67">
        <f>IF((($C20=$C$8)*($U$8="x"))+(($C20=$C$9)*($U$9="x"))+(($C20=$C$10)*($U$10="x"))+(($C20=$C$11)*($U$11="x")), WORKDAY.INTL(T20,SUM($U$4,U20),1,holidays!A$4:A$1503),T20)</f>
        <v>44944</v>
      </c>
      <c r="W20" s="15"/>
      <c r="X20" s="17">
        <f>IF((($C20=$C$8)*($W$8="x"))+(($C20=$C$9)*($W$9="x"))+(($C20=$C$10)*($W$10="x"))+(($C20=$C$11)*($W$11="x")), WORKDAY.INTL(V20,SUM($W$4,W20),1,holidays!A$4:A$1503),V20)</f>
        <v>44944</v>
      </c>
      <c r="Y20" s="15"/>
      <c r="Z20" s="67">
        <f>IF((($C20=$C$8)*($Y$8="x"))+(($C20=$C$9)*($Y$9="x"))+(($C20=$C$10)*($Y$10="x"))+(($C20=$C$11)*($Y$11="x")), WORKDAY.INTL(X20,SUM($Y$4,Y20),1,holidays!A$4:A$1503),X20)</f>
        <v>44949</v>
      </c>
      <c r="AA20" s="15">
        <v>1</v>
      </c>
      <c r="AB20" s="67">
        <f>IF((($C20=$C$8)*($AA$8="x"))+(($C20=$C$9)*($AA$9="x"))+(($C20=$C$10)*($AA$10="x"))+(($C20=$C$11)*($AA$11="x")), WORKDAY.INTL(Z20,SUM($AA$4,AA20),1,holidays!A$4:A$1503),Z20)</f>
        <v>44950</v>
      </c>
      <c r="AC20" s="15"/>
      <c r="AD20" s="67">
        <f>IF((($C20=$C$8)*($AC$8="x"))+(($C20=$C$9)*($AC$9="x"))+(($C20=$C$10)*($AC$10="x"))+(($C20=$C$11)*($AC$11="x")), WORKDAY.INTL(AB20,SUM($AC$4,AC20),1,holidays!A$4:A$1503),AB20)</f>
        <v>44952</v>
      </c>
      <c r="AE20" s="15"/>
      <c r="AF20" s="67">
        <f>IF((($C20=$C$8)*($AE$8="x"))+(($C20=$C$9)*($AE$9="x"))+(($C20=$C$10)*($AE$10="x"))+(($C20=$C$11)*($AE$11="x")), WORKDAY.INTL(AD20,SUM($AE$4,AE20),1,holidays!A$4:A$1503),AD20)</f>
        <v>44953</v>
      </c>
      <c r="AG20" s="15">
        <v>1</v>
      </c>
      <c r="AH20" s="67">
        <f>IF((($C20=$C$8)*($AG$8="x"))+(($C20=$C$9)*($AG$9="x"))+(($C20=$C$10)*($AG$10="x"))+(($C20=$C$11)*($AG$11="x")), WORKDAY.INTL(AF20,SUM($AG$4,AG20),1,holidays!A$4:A$1503),AF20)</f>
        <v>44956</v>
      </c>
      <c r="AI20" s="15">
        <v>13</v>
      </c>
      <c r="AJ20" s="73">
        <f>IF((($C20=$C$8)*($AI$8="x"))+(($C20=$C$9)*($AI$9="x"))+(($C20=$C$10)*($AI$10="x"))+(($C20=$C$11)*($AI$11="x")), WORKDAY.INTL(AH20,SUM($AI$4,AI20),1,holidays!A$4:A$1503),AH20)</f>
        <v>44979</v>
      </c>
      <c r="AK20" s="15">
        <v>14</v>
      </c>
      <c r="AL20" s="73">
        <f>IF((($C20=$C$8)*($AK$8="x"))+(($C20=$C$9)*($AK$9="x"))+(($C20=$C$10)*($AK$10="x"))+(($C20=$C$11)*($AK$11="x")), WORKDAY.INTL(AJ20,SUM($AK$4,AK20),1,holidays!A$4:A$1503),AJ20)</f>
        <v>45002</v>
      </c>
      <c r="AM20" s="15"/>
      <c r="AN20" s="73">
        <f>IF((($C20=$C$8)*($AM$8="x"))+(($C20=$C$9)*($AM$9="x"))+(($C20=$C$10)*($AM$10="x"))+(($C20=$C$11)*($AM$11="x")), WORKDAY.INTL(AL20,SUM($AM$4,AM20),1,holidays!A$4:A$1503),AL20)</f>
        <v>45002</v>
      </c>
      <c r="AO20" s="15">
        <v>1</v>
      </c>
      <c r="AP20" s="73">
        <f>IF((($C20=$C$8)*($AO$8="x"))+(($C20=$C$9)*($AO$9="x"))+(($C20=$C$10)*($AO$10="x"))+(($C20=$C$11)*($AO$11="x")), WORKDAY.INTL(AN20,SUM($AO$4,AO20),1,holidays!A$4:A$1503),AN20)</f>
        <v>45006</v>
      </c>
      <c r="AQ20" s="15"/>
      <c r="AR20" s="73">
        <f>IF((($C20=$C$8)*($AQ$8="x"))+(($C20=$C$9)*($AQ$9="x"))+(($C20=$C$10)*($AQ$10="x"))+(($C20=$C$11)*($AQ$11="x")), WORKDAY.INTL(AP20,SUM($AQ$4,AQ20),1,holidays!A$4:A$1503),AP20)</f>
        <v>45008</v>
      </c>
      <c r="AS20" s="15"/>
      <c r="AT20" s="73">
        <f>IF((($C20=$C$8)*($AS$8="x"))+(($C20=$C$9)*($AS$9="x"))+(($C20=$C$10)*($AS$10="x"))+(($C20=$C$11)*($AS$11="x")), WORKDAY.INTL(AR20,SUM($AS$4,AS20),1,holidays!A$4:A$1503),AR20)</f>
        <v>45014</v>
      </c>
      <c r="AU20" s="15">
        <v>14</v>
      </c>
      <c r="AV20" s="116" t="e">
        <f>IF((($C20=$C$8)*($AU$8="x"))+(($C20=$C$9)*($AU$9="x"))+(($C20=$C$10)*($AU$10="x"))+(($C20=$C$11)*($AU$11="x")), WORKDAY.INTL(AT20,SUM($AU$4,AU20),1,holidays!C$4:C$1503),AT20)</f>
        <v>#VALUE!</v>
      </c>
      <c r="AW20" s="29"/>
      <c r="AX20" s="29"/>
      <c r="AY20" s="29"/>
      <c r="AZ20" s="29"/>
      <c r="BA20" s="29"/>
      <c r="BB20" s="29"/>
      <c r="BC20" s="29"/>
      <c r="BD20" s="29"/>
      <c r="BE20" s="29"/>
      <c r="BF20" s="29"/>
      <c r="BG20" s="29"/>
      <c r="BH20" s="29"/>
      <c r="BI20" s="29"/>
      <c r="BJ20" s="29"/>
      <c r="BK20" s="29"/>
      <c r="BL20" s="29"/>
    </row>
    <row r="21" spans="1:65" ht="18.600000000000001">
      <c r="A21" s="74" t="s">
        <v>7</v>
      </c>
      <c r="B21" s="75" t="s">
        <v>90</v>
      </c>
      <c r="C21" s="122" t="s">
        <v>77</v>
      </c>
      <c r="D21" s="17"/>
      <c r="E21" s="17">
        <v>44928</v>
      </c>
      <c r="F21" s="16">
        <f>AT21</f>
        <v>44974</v>
      </c>
      <c r="G21" s="15"/>
      <c r="H21" s="16">
        <f>IF((($C21=$C$8)*($G$8="x"))+(($C21=$C$9)*($G$9="x"))+(($C21=$C$10)*($G$10="x"))+(($C21=$C$11)*($G$11="x")), WORKDAY.INTL(D21,SUM($H$4,G21),1,holidays!A$4:A$1503),D21)</f>
        <v>3</v>
      </c>
      <c r="I21" s="24"/>
      <c r="J21" s="16" cm="1">
        <f t="array" ref="J21">IF((($C21=$C$8)*($I$8:$I$8="x"))+(($C21=$C$9)*($I$9:$I$9="x"))+(($C21=$C$10)*($I$10:$I$10="x"))+(($C21=$C$11)*($I$11:$I$11="x")), WORKDAY.INTL(H21,SUM($J$4,I21),1,holidays!A$4:A$1503),H21)</f>
        <v>6</v>
      </c>
      <c r="K21" s="24"/>
      <c r="L21" s="16">
        <f>IF((($C21=$C$8)*($K$8="x"))+(($C21=$C$9)*($K$9="x"))+(($C21=$C$10)*($K$10="x"))+(($C21=$C$11)*($K$11="x")), WORKDAY.INTL(J21,SUM($L$4,K21),1,holidays!A$4:A$1503),J21)</f>
        <v>10</v>
      </c>
      <c r="M21" s="15">
        <v>2.12</v>
      </c>
      <c r="N21" s="67">
        <f>IF((($C21=$C$8)*($M$8="x"))+(($C21=$C$9)*($M$9="x"))+(($C21=$C$10)*($M$10="x"))+(($C21=$C$11)*($M$11="x")), WORKDAY.INTL(IF($A21="N",$L21,$E21),SUM($N$4,M21),1,holidays!A$4:A$1503),IF($A21="N",$L21,$E21))</f>
        <v>44936</v>
      </c>
      <c r="O21" s="15">
        <v>2</v>
      </c>
      <c r="P21" s="67">
        <f>IF((($C21=$C$8)*($O$8="x"))+(($C21=$C$9)*($O$9="x"))+(($C21=$C$10)*($O$10="x"))+(($C21=$C$11)*($O$11="x")), WORKDAY.INTL(N21,SUM($O$4,O21),1,holidays!A$4:A$1503),N21)</f>
        <v>44942</v>
      </c>
      <c r="Q21" s="15"/>
      <c r="R21" s="67">
        <f>IF((($C21=$C$8)*($Q$8="x"))+(($C21=$C$9)*($Q$9="x"))+(($C21=$C$10)*($Q$10="x"))+(($C21=$C$11)*($Q$11="x")), WORKDAY.INTL(P21,SUM($Q$4,Q21),1,holidays!A$4:A$1503),P21)</f>
        <v>44943</v>
      </c>
      <c r="S21" s="15"/>
      <c r="T21" s="17">
        <f>IF((($C21=$C$8)*($S$8="x"))+(($C21=$C$9)*($S$9="x"))+(($C21=$C$10)*($S$10="x"))+(($C21=$C$11)*($S$11="x")), WORKDAY.INTL(R21,SUM($S$4,S21),1,holidays!A$4:A$1503),R21)</f>
        <v>44943</v>
      </c>
      <c r="U21" s="15"/>
      <c r="V21" s="67">
        <f>IF((($C21=$C$8)*($U$8="x"))+(($C21=$C$9)*($U$9="x"))+(($C21=$C$10)*($U$10="x"))+(($C21=$C$11)*($U$11="x")), WORKDAY.INTL(T21,SUM($U$4,U21),1,holidays!A$4:A$1503),T21)</f>
        <v>44944</v>
      </c>
      <c r="W21" s="15"/>
      <c r="X21" s="17">
        <f>IF((($C21=$C$8)*($W$8="x"))+(($C21=$C$9)*($W$9="x"))+(($C21=$C$10)*($W$10="x"))+(($C21=$C$11)*($W$11="x")), WORKDAY.INTL(V21,SUM($W$4,W21),1,holidays!A$4:A$1503),V21)</f>
        <v>44944</v>
      </c>
      <c r="Y21" s="15"/>
      <c r="Z21" s="67">
        <f>IF((($C21=$C$8)*($Y$8="x"))+(($C21=$C$9)*($Y$9="x"))+(($C21=$C$10)*($Y$10="x"))+(($C21=$C$11)*($Y$11="x")), WORKDAY.INTL(X21,SUM($Y$4,Y21),1,holidays!A$4:A$1503),X21)</f>
        <v>44949</v>
      </c>
      <c r="AA21" s="15">
        <v>1</v>
      </c>
      <c r="AB21" s="67">
        <f>IF((($C21=$C$8)*($AA$8="x"))+(($C21=$C$9)*($AA$9="x"))+(($C21=$C$10)*($AA$10="x"))+(($C21=$C$11)*($AA$11="x")), WORKDAY.INTL(Z21,SUM($AA$4,AA21),1,holidays!A$4:A$1503),Z21)</f>
        <v>44950</v>
      </c>
      <c r="AC21" s="15"/>
      <c r="AD21" s="67">
        <f>IF((($C21=$C$8)*($AC$8="x"))+(($C21=$C$9)*($AC$9="x"))+(($C21=$C$10)*($AC$10="x"))+(($C21=$C$11)*($AC$11="x")), WORKDAY.INTL(AB21,SUM($AC$4,AC21),1,holidays!A$4:A$1503),AB21)</f>
        <v>44952</v>
      </c>
      <c r="AE21" s="15"/>
      <c r="AF21" s="67">
        <f>IF((($C21=$C$8)*($AE$8="x"))+(($C21=$C$9)*($AE$9="x"))+(($C21=$C$10)*($AE$10="x"))+(($C21=$C$11)*($AE$11="x")), WORKDAY.INTL(AD21,SUM($AE$4,AE21),1,holidays!A$4:A$1503),AD21)</f>
        <v>44953</v>
      </c>
      <c r="AG21" s="15">
        <v>1</v>
      </c>
      <c r="AH21" s="28">
        <f>IF((($C21=$C$8)*($AG$8="x"))+(($C21=$C$9)*($AG$9="x"))+(($C21=$C$10)*($AG$10="x"))+(($C21=$C$11)*($AG$11="x")), WORKDAY.INTL(AF21,SUM($AG$4,AG21),1,holidays!A$4:A$1503),AF21)</f>
        <v>44956</v>
      </c>
      <c r="AI21" s="15"/>
      <c r="AJ21" s="73">
        <f>IF((($C21=$C$8)*($AI$8="x"))+(($C21=$C$9)*($AI$9="x"))+(($C21=$C$10)*($AI$10="x"))+(($C21=$C$11)*($AI$11="x")), WORKDAY.INTL(AH21,SUM($AI$4,AI21),1,holidays!A$4:A$1503),AH21)</f>
        <v>44960</v>
      </c>
      <c r="AK21" s="15"/>
      <c r="AL21" s="73">
        <f>IF((($C21=$C$8)*($AK$8="x"))+(($C21=$C$9)*($AK$9="x"))+(($C21=$C$10)*($AK$10="x"))+(($C21=$C$11)*($AK$11="x")), WORKDAY.INTL(AJ21,SUM($AK$4,AK21),1,holidays!A$4:A$1503),AJ21)</f>
        <v>44965</v>
      </c>
      <c r="AM21" s="15"/>
      <c r="AN21" s="73">
        <f>IF((($C21=$C$8)*($AM$8="x"))+(($C21=$C$9)*($AM$9="x"))+(($C21=$C$10)*($AM$10="x"))+(($C21=$C$11)*($AM$11="x")), WORKDAY.INTL(AL21,SUM($AM$4,AM21),1,holidays!A$4:A$1503),AL21)</f>
        <v>44965</v>
      </c>
      <c r="AO21" s="15">
        <v>1</v>
      </c>
      <c r="AP21" s="73">
        <f>IF((($C21=$C$8)*($AO$8="x"))+(($C21=$C$9)*($AO$9="x"))+(($C21=$C$10)*($AO$10="x"))+(($C21=$C$11)*($AO$11="x")), WORKDAY.INTL(AN21,SUM($AO$4,AO21),1,holidays!A$4:A$1503),AN21)</f>
        <v>44966</v>
      </c>
      <c r="AQ21" s="15"/>
      <c r="AR21" s="73">
        <f>IF((($C21=$C$8)*($AQ$8="x"))+(($C21=$C$9)*($AQ$9="x"))+(($C21=$C$10)*($AQ$10="x"))+(($C21=$C$11)*($AQ$11="x")), WORKDAY.INTL(AP21,SUM($AQ$4,AQ21),1,holidays!A$4:A$1503),AP21)</f>
        <v>44970</v>
      </c>
      <c r="AS21" s="15"/>
      <c r="AT21" s="73">
        <f>IF((($C21=$C$8)*($AS$8="x"))+(($C21=$C$9)*($AS$9="x"))+(($C21=$C$10)*($AS$10="x"))+(($C21=$C$11)*($AS$11="x")), WORKDAY.INTL(AR21,SUM($AS$4,AS21),1,holidays!A$4:A$1503),AR21)</f>
        <v>44974</v>
      </c>
      <c r="AU21" s="15"/>
      <c r="AV21" s="116" t="e">
        <f>IF((($C21=$C$8)*($AU$8="x"))+(($C21=$C$9)*($AU$9="x"))+(($C21=$C$10)*($AU$10="x"))+(($C21=$C$11)*($AU$11="x")), WORKDAY.INTL(AT21,SUM($AU$4,AU21),1,holidays!C$4:C$1503),AT21)</f>
        <v>#VALUE!</v>
      </c>
      <c r="AW21" s="110">
        <v>44985</v>
      </c>
      <c r="AX21" s="29"/>
      <c r="AY21" s="29"/>
      <c r="AZ21" s="29"/>
      <c r="BA21" s="29"/>
      <c r="BB21" s="29"/>
      <c r="BC21" s="29"/>
      <c r="BD21" s="29"/>
      <c r="BE21" s="29"/>
      <c r="BF21" s="29"/>
      <c r="BG21" s="29"/>
      <c r="BH21" s="29"/>
      <c r="BI21" s="29"/>
      <c r="BJ21" s="29"/>
      <c r="BK21" s="29"/>
      <c r="BL21" s="29"/>
    </row>
    <row r="22" spans="1:65" ht="18.600000000000001">
      <c r="A22" s="30" t="s">
        <v>7</v>
      </c>
      <c r="B22" s="103" t="s">
        <v>91</v>
      </c>
      <c r="C22" s="124" t="s">
        <v>77</v>
      </c>
      <c r="D22" s="104"/>
      <c r="E22" s="104">
        <v>44928</v>
      </c>
      <c r="F22" s="105">
        <f>AT22</f>
        <v>44972</v>
      </c>
      <c r="G22" s="21"/>
      <c r="H22" s="105">
        <f>IF((($C22=$C$8)*($G$8="x"))+(($C22=$C$9)*($G$9="x"))+(($C22=$C$10)*($G$10="x"))+(($C22=$C$11)*($G$11="x")), WORKDAY.INTL(D22,SUM($H$4,G22),1,holidays!A$4:A$1503),D22)</f>
        <v>3</v>
      </c>
      <c r="I22" s="106"/>
      <c r="J22" s="105" cm="1">
        <f t="array" ref="J22">IF((($C22=$C$8)*($I$8:$I$8="x"))+(($C22=$C$9)*($I$9:$I$9="x"))+(($C22=$C$10)*($I$10:$I$10="x"))+(($C22=$C$11)*($I$11:$I$11="x")), WORKDAY.INTL(H22,SUM($J$4,I22),1,holidays!A$4:A$1503),H22)</f>
        <v>6</v>
      </c>
      <c r="K22" s="106"/>
      <c r="L22" s="105">
        <f>IF((($C22=$C$8)*($K$8="x"))+(($C22=$C$9)*($K$9="x"))+(($C22=$C$10)*($K$10="x"))+(($C22=$C$11)*($K$11="x")), WORKDAY.INTL(J22,SUM($L$4,K22),1,holidays!A$4:A$1503),J22)</f>
        <v>10</v>
      </c>
      <c r="M22" s="21"/>
      <c r="N22" s="107">
        <f>IF((($C22=$C$8)*($M$8="x"))+(($C22=$C$9)*($M$9="x"))+(($C22=$C$10)*($M$10="x"))+(($C22=$C$11)*($M$11="x")), WORKDAY.INTL(IF($A22="N",$L22,$E22),SUM($N$4,M22),1,holidays!A$4:A$1503),IF($A22="N",$L22,$E22))</f>
        <v>44932</v>
      </c>
      <c r="O22" s="21">
        <v>2</v>
      </c>
      <c r="P22" s="107">
        <f>IF((($C22=$C$8)*($O$8="x"))+(($C22=$C$9)*($O$9="x"))+(($C22=$C$10)*($O$10="x"))+(($C22=$C$11)*($O$11="x")), WORKDAY.INTL(N22,SUM($O$4,O22),1,holidays!A$4:A$1503),N22)</f>
        <v>44938</v>
      </c>
      <c r="Q22" s="21"/>
      <c r="R22" s="107">
        <f>IF((($C22=$C$8)*($Q$8="x"))+(($C22=$C$9)*($Q$9="x"))+(($C22=$C$10)*($Q$10="x"))+(($C22=$C$11)*($Q$11="x")), WORKDAY.INTL(P22,SUM($Q$4,Q22),1,holidays!A$4:A$1503),P22)</f>
        <v>44939</v>
      </c>
      <c r="S22" s="21"/>
      <c r="T22" s="104">
        <f>IF((($C22=$C$8)*($S$8="x"))+(($C22=$C$9)*($S$9="x"))+(($C22=$C$10)*($S$10="x"))+(($C22=$C$11)*($S$11="x")), WORKDAY.INTL(R22,SUM($S$4,S22),1,holidays!A$4:A$1503),R22)</f>
        <v>44939</v>
      </c>
      <c r="U22" s="21"/>
      <c r="V22" s="107">
        <f>IF((($C22=$C$8)*($U$8="x"))+(($C22=$C$9)*($U$9="x"))+(($C22=$C$10)*($U$10="x"))+(($C22=$C$11)*($U$11="x")), WORKDAY.INTL(T22,SUM($U$4,U22),1,holidays!A$4:A$1503),T22)</f>
        <v>44942</v>
      </c>
      <c r="W22" s="21"/>
      <c r="X22" s="104">
        <f>IF((($C22=$C$8)*($W$8="x"))+(($C22=$C$9)*($W$9="x"))+(($C22=$C$10)*($W$10="x"))+(($C22=$C$11)*($W$11="x")), WORKDAY.INTL(V22,SUM($W$4,W22),1,holidays!A$4:A$1503),V22)</f>
        <v>44942</v>
      </c>
      <c r="Y22" s="21"/>
      <c r="Z22" s="107">
        <f>IF((($C22=$C$8)*($Y$8="x"))+(($C22=$C$9)*($Y$9="x"))+(($C22=$C$10)*($Y$10="x"))+(($C22=$C$11)*($Y$11="x")), WORKDAY.INTL(X22,SUM($Y$4,Y22),1,holidays!A$4:A$1503),X22)</f>
        <v>44945</v>
      </c>
      <c r="AA22" s="21">
        <v>1</v>
      </c>
      <c r="AB22" s="107">
        <f>IF((($C22=$C$8)*($AA$8="x"))+(($C22=$C$9)*($AA$9="x"))+(($C22=$C$10)*($AA$10="x"))+(($C22=$C$11)*($AA$11="x")), WORKDAY.INTL(Z22,SUM($AA$4,AA22),1,holidays!A$4:A$1503),Z22)</f>
        <v>44946</v>
      </c>
      <c r="AC22" s="21"/>
      <c r="AD22" s="107">
        <f>IF((($C22=$C$8)*($AC$8="x"))+(($C22=$C$9)*($AC$9="x"))+(($C22=$C$10)*($AC$10="x"))+(($C22=$C$11)*($AC$11="x")), WORKDAY.INTL(AB22,SUM($AC$4,AC22),1,holidays!A$4:A$1503),AB22)</f>
        <v>44950</v>
      </c>
      <c r="AE22" s="21"/>
      <c r="AF22" s="108">
        <f>IF((($C22=$C$8)*($AE$8="x"))+(($C22=$C$9)*($AE$9="x"))+(($C22=$C$10)*($AE$10="x"))+(($C22=$C$11)*($AE$11="x")), WORKDAY.INTL(AD22,SUM($AE$4,AE22),1,holidays!A$4:A$1503),AD22)</f>
        <v>44951</v>
      </c>
      <c r="AG22" s="21">
        <v>1</v>
      </c>
      <c r="AH22" s="108">
        <f>IF((($C22=$C$8)*($AG$8="x"))+(($C22=$C$9)*($AG$9="x"))+(($C22=$C$10)*($AG$10="x"))+(($C22=$C$11)*($AG$11="x")), WORKDAY.INTL(AF22,SUM($AG$4,AG22),1,holidays!A$4:A$1503),AF22)</f>
        <v>44952</v>
      </c>
      <c r="AI22" s="21"/>
      <c r="AJ22" s="109">
        <f>IF((($C22=$C$8)*($AI$8="x"))+(($C22=$C$9)*($AI$9="x"))+(($C22=$C$10)*($AI$10="x"))+(($C22=$C$11)*($AI$11="x")), WORKDAY.INTL(AH22,SUM($AI$4,AI22),1,holidays!A$4:A$1503),AH22)</f>
        <v>44958</v>
      </c>
      <c r="AK22" s="21"/>
      <c r="AL22" s="109">
        <f>IF((($C22=$C$8)*($AK$8="x"))+(($C22=$C$9)*($AK$9="x"))+(($C22=$C$10)*($AK$10="x"))+(($C22=$C$11)*($AK$11="x")), WORKDAY.INTL(AJ22,SUM($AK$4,AK22),1,holidays!A$4:A$1503),AJ22)</f>
        <v>44963</v>
      </c>
      <c r="AM22" s="21"/>
      <c r="AN22" s="109">
        <f>IF((($C22=$C$8)*($AM$8="x"))+(($C22=$C$9)*($AM$9="x"))+(($C22=$C$10)*($AM$10="x"))+(($C22=$C$11)*($AM$11="x")), WORKDAY.INTL(AL22,SUM($AM$4,AM22),1,holidays!A$4:A$1503),AL22)</f>
        <v>44963</v>
      </c>
      <c r="AO22" s="21">
        <v>1</v>
      </c>
      <c r="AP22" s="109">
        <f>IF((($C22=$C$8)*($AO$8="x"))+(($C22=$C$9)*($AO$9="x"))+(($C22=$C$10)*($AO$10="x"))+(($C22=$C$11)*($AO$11="x")), WORKDAY.INTL(AN22,SUM($AO$4,AO22),1,holidays!A$4:A$1503),AN22)</f>
        <v>44964</v>
      </c>
      <c r="AQ22" s="21"/>
      <c r="AR22" s="109">
        <f>IF((($C22=$C$8)*($AQ$8="x"))+(($C22=$C$9)*($AQ$9="x"))+(($C22=$C$10)*($AQ$10="x"))+(($C22=$C$11)*($AQ$11="x")), WORKDAY.INTL(AP22,SUM($AQ$4,AQ22),1,holidays!A$4:A$1503),AP22)</f>
        <v>44966</v>
      </c>
      <c r="AS22" s="21"/>
      <c r="AT22" s="109">
        <f>IF((($C22=$C$8)*($AS$8="x"))+(($C22=$C$9)*($AS$9="x"))+(($C22=$C$10)*($AS$10="x"))+(($C22=$C$11)*($AS$11="x")), WORKDAY.INTL(AR22,SUM($AS$4,AS22),1,holidays!A$4:A$1503),AR22)</f>
        <v>44972</v>
      </c>
      <c r="AU22" s="21"/>
      <c r="AV22" s="117" t="e">
        <f>IF((($C22=$C$8)*($AU$8="x"))+(($C22=$C$9)*($AU$9="x"))+(($C22=$C$10)*($AU$10="x"))+(($C22=$C$11)*($AU$11="x")), WORKDAY.INTL(AT22,SUM($AU$4,AU22),1,holidays!C$4:C$1503),AT22)</f>
        <v>#VALUE!</v>
      </c>
      <c r="AW22" s="110">
        <v>44985</v>
      </c>
      <c r="AX22" s="29"/>
      <c r="AY22" s="29"/>
      <c r="AZ22" s="29"/>
      <c r="BA22" s="29"/>
      <c r="BB22" s="29"/>
      <c r="BC22" s="29"/>
      <c r="BD22" s="29"/>
      <c r="BE22" s="29"/>
      <c r="BF22" s="29"/>
      <c r="BG22" s="29"/>
      <c r="BH22" s="29"/>
      <c r="BI22" s="29"/>
      <c r="BJ22" s="29"/>
      <c r="BK22" s="29"/>
      <c r="BL22" s="29"/>
    </row>
    <row r="23" spans="1:65" s="102" customFormat="1" ht="18.75">
      <c r="A23" s="102" t="s">
        <v>7</v>
      </c>
      <c r="B23" s="69" t="s">
        <v>92</v>
      </c>
      <c r="C23" s="202" t="s">
        <v>74</v>
      </c>
      <c r="E23" s="201">
        <v>45253</v>
      </c>
      <c r="F23" s="105">
        <f t="shared" ref="F23:F24" si="1">AT23</f>
        <v>45278</v>
      </c>
      <c r="G23" s="21"/>
      <c r="H23" s="105">
        <f>IF((($C23=$C$8)*($G$8="x"))+(($C23=$C$9)*($G$9="x"))+(($C23=$C$10)*($G$10="x"))+(($C23=$C$11)*($G$11="x")), WORKDAY.INTL(D23,SUM($H$4,G23),1,holidays!A$4:A$1503),D23)</f>
        <v>3</v>
      </c>
      <c r="I23" s="106"/>
      <c r="J23" s="105" cm="1">
        <f t="array" ref="J23">IF((($C23=$C$8)*($I$8:$I$8="x"))+(($C23=$C$9)*($I$9:$I$9="x"))+(($C23=$C$10)*($I$10:$I$10="x"))+(($C23=$C$11)*($I$11:$I$11="x")), WORKDAY.INTL(H23,SUM($J$4,I23),1,holidays!A$4:A$1503),H23)</f>
        <v>6</v>
      </c>
      <c r="K23" s="106"/>
      <c r="L23" s="105">
        <f>IF((($C23=$C$8)*($K$8="x"))+(($C23=$C$9)*($K$9="x"))+(($C23=$C$10)*($K$10="x"))+(($C23=$C$11)*($K$11="x")), WORKDAY.INTL(J23,SUM($L$4,K23),1,holidays!A$4:A$1503),J23)</f>
        <v>10</v>
      </c>
      <c r="M23" s="21"/>
      <c r="N23" s="104">
        <f>IF((($C23=$C$8)*($M$8="x"))+(($C23=$C$9)*($M$9="x"))+(($C23=$C$10)*($M$10="x"))+(($C23=$C$11)*($M$11="x")), WORKDAY.INTL(IF($A23="N",$L23,$E23),SUM($N$4,M23),1,holidays!A$4:A$1503),IF($A23="N",$L23,$E23))</f>
        <v>45258</v>
      </c>
      <c r="O23" s="21">
        <v>2</v>
      </c>
      <c r="P23" s="104">
        <f>IF((($C23=$C$8)*($O$8="x"))+(($C23=$C$9)*($O$9="x"))+(($C23=$C$10)*($O$10="x"))+(($C23=$C$11)*($O$11="x")), WORKDAY.INTL(N23,SUM($O$4,O23),1,holidays!A$4:A$1503),N23)</f>
        <v>45264</v>
      </c>
      <c r="Q23" s="21"/>
      <c r="R23" s="104">
        <f>IF((($C23=$C$8)*($Q$8="x"))+(($C23=$C$9)*($Q$9="x"))+(($C23=$C$10)*($Q$10="x"))+(($C23=$C$11)*($Q$11="x")), WORKDAY.INTL(P23,SUM($Q$4,Q23),1,holidays!A$4:A$1503),P23)</f>
        <v>45265</v>
      </c>
      <c r="S23" s="21"/>
      <c r="T23" s="104">
        <f>IF((($C23=$C$8)*($S$8="x"))+(($C23=$C$9)*($S$9="x"))+(($C23=$C$10)*($S$10="x"))+(($C23=$C$11)*($S$11="x")), WORKDAY.INTL(R23,SUM($S$4,S23),1,holidays!A$4:A$1503),R23)</f>
        <v>45265</v>
      </c>
      <c r="U23" s="21"/>
      <c r="V23" s="104">
        <f>IF((($C23=$C$8)*($U$8="x"))+(($C23=$C$9)*($U$9="x"))+(($C23=$C$10)*($U$10="x"))+(($C23=$C$11)*($U$11="x")), WORKDAY.INTL(T23,SUM($U$4,U23),1,holidays!A$4:A$1503),T23)</f>
        <v>45266</v>
      </c>
      <c r="W23" s="21"/>
      <c r="X23" s="104">
        <f>IF((($C23=$C$8)*($W$8="x"))+(($C23=$C$9)*($W$9="x"))+(($C23=$C$10)*($W$10="x"))+(($C23=$C$11)*($W$11="x")), WORKDAY.INTL(V23,SUM($W$4,W23),1,holidays!A$4:A$1503),V23)</f>
        <v>45266</v>
      </c>
      <c r="Y23" s="21"/>
      <c r="Z23" s="104">
        <f>IF((($C23=$C$8)*($Y$8="x"))+(($C23=$C$9)*($Y$9="x"))+(($C23=$C$10)*($Y$10="x"))+(($C23=$C$11)*($Y$11="x")), WORKDAY.INTL(X23,SUM($Y$4,Y23),1,holidays!A$4:A$1503),X23)</f>
        <v>45271</v>
      </c>
      <c r="AA23" s="21">
        <v>1</v>
      </c>
      <c r="AB23" s="104">
        <f>IF((($C23=$C$8)*($AA$8="x"))+(($C23=$C$9)*($AA$9="x"))+(($C23=$C$10)*($AA$10="x"))+(($C23=$C$11)*($AA$11="x")), WORKDAY.INTL(Z23,SUM($AA$4,AA23),1,holidays!A$4:A$1503),Z23)</f>
        <v>45273</v>
      </c>
      <c r="AC23" s="21"/>
      <c r="AD23" s="104">
        <f>IF((($C23=$C$8)*($AC$8="x"))+(($C23=$C$9)*($AC$9="x"))+(($C23=$C$10)*($AC$10="x"))+(($C23=$C$11)*($AC$11="x")), WORKDAY.INTL(AB23,SUM($AC$4,AC23),1,holidays!A$4:A$1503),AB23)</f>
        <v>45275</v>
      </c>
      <c r="AE23" s="21"/>
      <c r="AF23" s="104">
        <f>IF((($C23=$C$8)*($AE$8="x"))+(($C23=$C$9)*($AE$9="x"))+(($C23=$C$10)*($AE$10="x"))+(($C23=$C$11)*($AE$11="x")), WORKDAY.INTL(AD23,SUM($AE$4,AE23),1,holidays!A$4:A$1503),AD23)</f>
        <v>45278</v>
      </c>
      <c r="AG23" s="21">
        <v>1</v>
      </c>
      <c r="AH23" s="104">
        <f>IF((($C23=$C$8)*($AG$8="x"))+(($C23=$C$9)*($AG$9="x"))+(($C23=$C$10)*($AG$10="x"))+(($C23=$C$11)*($AG$11="x")), WORKDAY.INTL(AF23,SUM($AG$4,AG23),1,holidays!A$4:A$1503),AF23)</f>
        <v>45278</v>
      </c>
      <c r="AI23" s="21"/>
      <c r="AJ23" s="104">
        <f>IF((($C23=$C$8)*($AI$8="x"))+(($C23=$C$9)*($AI$9="x"))+(($C23=$C$10)*($AI$10="x"))+(($C23=$C$11)*($AI$11="x")), WORKDAY.INTL(AH23,SUM($AI$4,AI23),1,holidays!A$4:A$1503),AH23)</f>
        <v>45278</v>
      </c>
      <c r="AK23" s="21"/>
      <c r="AL23" s="104">
        <f>IF((($C23=$C$8)*($AK$8="x"))+(($C23=$C$9)*($AK$9="x"))+(($C23=$C$10)*($AK$10="x"))+(($C23=$C$11)*($AK$11="x")), WORKDAY.INTL(AJ23,SUM($AK$4,AK23),1,holidays!A$4:A$1503),AJ23)</f>
        <v>45278</v>
      </c>
      <c r="AM23" s="21"/>
      <c r="AN23" s="104">
        <f>IF((($C23=$C$8)*($AM$8="x"))+(($C23=$C$9)*($AM$9="x"))+(($C23=$C$10)*($AM$10="x"))+(($C23=$C$11)*($AM$11="x")), WORKDAY.INTL(AL23,SUM($AM$4,AM23),1,holidays!A$4:A$1503),AL23)</f>
        <v>45278</v>
      </c>
      <c r="AO23" s="21">
        <v>1</v>
      </c>
      <c r="AP23" s="104">
        <f>IF((($C23=$C$8)*($AO$8="x"))+(($C23=$C$9)*($AO$9="x"))+(($C23=$C$10)*($AO$10="x"))+(($C23=$C$11)*($AO$11="x")), WORKDAY.INTL(AN23,SUM($AO$4,AO23),1,holidays!A$4:A$1503),AN23)</f>
        <v>45278</v>
      </c>
      <c r="AQ23" s="21"/>
      <c r="AR23" s="104">
        <f>IF((($C23=$C$8)*($AQ$8="x"))+(($C23=$C$9)*($AQ$9="x"))+(($C23=$C$10)*($AQ$10="x"))+(($C23=$C$11)*($AQ$11="x")), WORKDAY.INTL(AP23,SUM($AQ$4,AQ23),1,holidays!A$4:A$1503),AP23)</f>
        <v>45278</v>
      </c>
      <c r="AS23" s="21"/>
      <c r="AT23" s="104">
        <f>IF((($C23=$C$8)*($AS$8="x"))+(($C23=$C$9)*($AS$9="x"))+(($C23=$C$10)*($AS$10="x"))+(($C23=$C$11)*($AS$11="x")), WORKDAY.INTL(AR23,SUM($AS$4,AS23),1,holidays!A$4:A$1503),AR23)</f>
        <v>45278</v>
      </c>
      <c r="AU23" s="21"/>
      <c r="AV23" s="117">
        <f>IF((($C23=$C$8)*($AU$8="x"))+(($C23=$C$9)*($AU$9="x"))+(($C23=$C$10)*($AU$10="x"))+(($C23=$C$11)*($AU$11="x")), WORKDAY.INTL(AT23,SUM($AU$4,AU23),1,holidays!C$4:C$1503),AT23)</f>
        <v>45278</v>
      </c>
      <c r="AW23" s="29"/>
      <c r="AX23" s="29"/>
      <c r="AY23" s="29"/>
      <c r="AZ23" s="29"/>
      <c r="BA23" s="29"/>
      <c r="BB23" s="29"/>
      <c r="BC23" s="29"/>
      <c r="BD23" s="29"/>
      <c r="BE23" s="29"/>
      <c r="BF23" s="29"/>
      <c r="BG23" s="29"/>
      <c r="BH23" s="29"/>
      <c r="BI23" s="29"/>
      <c r="BJ23" s="29"/>
      <c r="BK23" s="29"/>
      <c r="BL23" s="29"/>
      <c r="BM23" s="120"/>
    </row>
    <row r="24" spans="1:65" s="29" customFormat="1" ht="18.600000000000001">
      <c r="A24" s="29" t="s">
        <v>7</v>
      </c>
      <c r="B24" s="69" t="s">
        <v>93</v>
      </c>
      <c r="C24" s="125" t="s">
        <v>74</v>
      </c>
      <c r="E24" s="110">
        <v>44987</v>
      </c>
      <c r="F24" s="111">
        <f t="shared" si="1"/>
        <v>45008</v>
      </c>
      <c r="H24" s="111">
        <f>IF((($C24=$C$8)*($G$8="x"))+(($C24=$C$9)*($G$9="x"))+(($C24=$C$10)*($G$10="x"))+(($C24=$C$11)*($G$11="x")), WORKDAY.INTL(D24,SUM($H$4,G24),1,holidays!A$4:A$1503),D24)</f>
        <v>3</v>
      </c>
      <c r="I24" s="112"/>
      <c r="J24" s="111" cm="1">
        <f t="array" ref="J24">IF((($C24=$C$8)*($I$8:$I$8="x"))+(($C24=$C$9)*($I$9:$I$9="x"))+(($C24=$C$10)*($I$10:$I$10="x"))+(($C24=$C$11)*($I$11:$I$11="x")), WORKDAY.INTL(H24,SUM($J$4,I24),1,holidays!A$4:A$1503),H24)</f>
        <v>6</v>
      </c>
      <c r="K24" s="112"/>
      <c r="L24" s="111">
        <f>IF((($C24=$C$8)*($K$8="x"))+(($C24=$C$9)*($K$9="x"))+(($C24=$C$10)*($K$10="x"))+(($C24=$C$11)*($K$11="x")), WORKDAY.INTL(J24,SUM($L$4,K24),1,holidays!A$4:A$1503),J24)</f>
        <v>10</v>
      </c>
      <c r="N24" s="110">
        <f>IF((($C24=$C$8)*($M$8="x"))+(($C24=$C$9)*($M$9="x"))+(($C24=$C$10)*($M$10="x"))+(($C24=$C$11)*($M$11="x")), WORKDAY.INTL(IF($A24="N",$L24,$E24),SUM($N$4,M24),1,holidays!A$4:A$1503),IF($A24="N",$L24,$E24))</f>
        <v>44992</v>
      </c>
      <c r="P24" s="110">
        <f>IF((($C24=$C$8)*($O$8="x"))+(($C24=$C$9)*($O$9="x"))+(($C24=$C$10)*($O$10="x"))+(($C24=$C$11)*($O$11="x")), WORKDAY.INTL(N24,SUM($O$4,O24),1,holidays!A$4:A$1503),N24)</f>
        <v>44994</v>
      </c>
      <c r="R24" s="110">
        <f>IF((($C24=$C$8)*($Q$8="x"))+(($C24=$C$9)*($Q$9="x"))+(($C24=$C$10)*($Q$10="x"))+(($C24=$C$11)*($Q$11="x")), WORKDAY.INTL(P24,SUM($Q$4,Q24),1,holidays!A$4:A$1503),P24)</f>
        <v>44995</v>
      </c>
      <c r="T24" s="110">
        <f>IF((($C24=$C$8)*($S$8="x"))+(($C24=$C$9)*($S$9="x"))+(($C24=$C$10)*($S$10="x"))+(($C24=$C$11)*($S$11="x")), WORKDAY.INTL(R24,SUM($S$4,S24),1,holidays!A$4:A$1503),R24)</f>
        <v>44995</v>
      </c>
      <c r="V24" s="110">
        <f>IF((($C24=$C$8)*($U$8="x"))+(($C24=$C$9)*($U$9="x"))+(($C24=$C$10)*($U$10="x"))+(($C24=$C$11)*($U$11="x")), WORKDAY.INTL(T24,SUM($U$4,U24),1,holidays!A$4:A$1503),T24)</f>
        <v>44998</v>
      </c>
      <c r="X24" s="110">
        <f>IF((($C24=$C$8)*($W$8="x"))+(($C24=$C$9)*($W$9="x"))+(($C24=$C$10)*($W$10="x"))+(($C24=$C$11)*($W$11="x")), WORKDAY.INTL(V24,SUM($W$4,W24),1,holidays!A$4:A$1503),V24)</f>
        <v>44998</v>
      </c>
      <c r="Z24" s="110">
        <f>IF((($C24=$C$8)*($Y$8="x"))+(($C24=$C$9)*($Y$9="x"))+(($C24=$C$10)*($Y$10="x"))+(($C24=$C$11)*($Y$11="x")), WORKDAY.INTL(X24,SUM($Y$4,Y24),1,holidays!A$4:A$1503),X24)</f>
        <v>45001</v>
      </c>
      <c r="AA24" s="29">
        <v>1</v>
      </c>
      <c r="AB24" s="110">
        <f>IF((($C24=$C$8)*($AA$8="x"))+(($C24=$C$9)*($AA$9="x"))+(($C24=$C$10)*($AA$10="x"))+(($C24=$C$11)*($AA$11="x")), WORKDAY.INTL(Z24,SUM($AA$4,AA24),1,holidays!A$4:A$1503),Z24)</f>
        <v>45002</v>
      </c>
      <c r="AD24" s="110">
        <f>IF((($C24=$C$8)*($AC$8="x"))+(($C24=$C$9)*($AC$9="x"))+(($C24=$C$10)*($AC$10="x"))+(($C24=$C$11)*($AC$11="x")), WORKDAY.INTL(AB24,SUM($AC$4,AC24),1,holidays!A$4:A$1503),AB24)</f>
        <v>45007</v>
      </c>
      <c r="AF24" s="110">
        <f>IF((($C24=$C$8)*($AE$8="x"))+(($C24=$C$9)*($AE$9="x"))+(($C24=$C$10)*($AE$10="x"))+(($C24=$C$11)*($AE$11="x")), WORKDAY.INTL(AD24,SUM($AE$4,AE24),1,holidays!A$4:A$1503),AD24)</f>
        <v>45008</v>
      </c>
      <c r="AG24" s="29">
        <v>1</v>
      </c>
      <c r="AH24" s="110">
        <f>IF((($C24=$C$8)*($AG$8="x"))+(($C24=$C$9)*($AG$9="x"))+(($C24=$C$10)*($AG$10="x"))+(($C24=$C$11)*($AG$11="x")), WORKDAY.INTL(AF24,SUM($AG$4,AG24),1,holidays!A$4:A$1503),AF24)</f>
        <v>45008</v>
      </c>
      <c r="AJ24" s="110">
        <f>IF((($C24=$C$8)*($AI$8="x"))+(($C24=$C$9)*($AI$9="x"))+(($C24=$C$10)*($AI$10="x"))+(($C24=$C$11)*($AI$11="x")), WORKDAY.INTL(AH24,SUM($AI$4,AI24),1,holidays!A$4:A$1503),AH24)</f>
        <v>45008</v>
      </c>
      <c r="AL24" s="110">
        <f>IF((($C24=$C$8)*($AK$8="x"))+(($C24=$C$9)*($AK$9="x"))+(($C24=$C$10)*($AK$10="x"))+(($C24=$C$11)*($AK$11="x")), WORKDAY.INTL(AJ24,SUM($AK$4,AK24),1,holidays!A$4:A$1503),AJ24)</f>
        <v>45008</v>
      </c>
      <c r="AN24" s="110">
        <f>IF((($C24=$C$8)*($AM$8="x"))+(($C24=$C$9)*($AM$9="x"))+(($C24=$C$10)*($AM$10="x"))+(($C24=$C$11)*($AM$11="x")), WORKDAY.INTL(AL24,SUM($AM$4,AM24),1,holidays!A$4:A$1503),AL24)</f>
        <v>45008</v>
      </c>
      <c r="AO24" s="29">
        <v>1</v>
      </c>
      <c r="AP24" s="110">
        <f>IF((($C24=$C$8)*($AO$8="x"))+(($C24=$C$9)*($AO$9="x"))+(($C24=$C$10)*($AO$10="x"))+(($C24=$C$11)*($AO$11="x")), WORKDAY.INTL(AN24,SUM($AO$4,AO24),1,holidays!A$4:A$1503),AN24)</f>
        <v>45008</v>
      </c>
      <c r="AR24" s="110">
        <f>IF((($C24=$C$8)*($AQ$8="x"))+(($C24=$C$9)*($AQ$9="x"))+(($C24=$C$10)*($AQ$10="x"))+(($C24=$C$11)*($AQ$11="x")), WORKDAY.INTL(AP24,SUM($AQ$4,AQ24),1,holidays!A$4:A$1503),AP24)</f>
        <v>45008</v>
      </c>
      <c r="AT24" s="110">
        <f>IF((($C24=$C$8)*($AS$8="x"))+(($C24=$C$9)*($AS$9="x"))+(($C24=$C$10)*($AS$10="x"))+(($C24=$C$11)*($AS$11="x")), WORKDAY.INTL(AR24,SUM($AS$4,AS24),1,holidays!A$4:A$1503),AR24)</f>
        <v>45008</v>
      </c>
      <c r="AV24" s="118">
        <f>IF((($C24=$C$8)*($AU$8="x"))+(($C24=$C$9)*($AU$9="x"))+(($C24=$C$10)*($AU$10="x"))+(($C24=$C$11)*($AU$11="x")), WORKDAY.INTL(AT24,SUM($AU$4,AU24),1,holidays!C$4:C$1503),AT24)</f>
        <v>45008</v>
      </c>
      <c r="BM24" s="121"/>
    </row>
    <row r="25" spans="1:65" s="29" customFormat="1" ht="15" customHeight="1">
      <c r="C25" s="125"/>
      <c r="AV25" s="119"/>
      <c r="BM25" s="121"/>
    </row>
    <row r="26" spans="1:65" s="29" customFormat="1">
      <c r="AV26" s="119">
        <v>8</v>
      </c>
      <c r="AW26" s="29">
        <v>8</v>
      </c>
      <c r="AX26" s="29">
        <v>4</v>
      </c>
      <c r="BM26" s="121"/>
    </row>
    <row r="27" spans="1:65" s="29" customFormat="1">
      <c r="AV27" s="119"/>
      <c r="BM27" s="121"/>
    </row>
    <row r="28" spans="1:65" s="29" customFormat="1">
      <c r="A28" s="110"/>
      <c r="AV28" s="119"/>
      <c r="BM28" s="121"/>
    </row>
    <row r="31" spans="1:65" ht="15" customHeight="1"/>
    <row r="32" spans="1:65" ht="15" customHeight="1"/>
    <row r="33" ht="15" customHeight="1"/>
    <row r="34" ht="15" customHeight="1"/>
    <row r="35" ht="15" customHeight="1"/>
  </sheetData>
  <mergeCells count="141">
    <mergeCell ref="AU8:AV8"/>
    <mergeCell ref="AC8:AD8"/>
    <mergeCell ref="AU10:AV10"/>
    <mergeCell ref="AI10:AJ10"/>
    <mergeCell ref="AK10:AL10"/>
    <mergeCell ref="AM10:AN10"/>
    <mergeCell ref="AO10:AP10"/>
    <mergeCell ref="AQ10:AR10"/>
    <mergeCell ref="AU11:AV11"/>
    <mergeCell ref="AI11:AJ11"/>
    <mergeCell ref="AK11:AL11"/>
    <mergeCell ref="AM11:AN11"/>
    <mergeCell ref="AO11:AP11"/>
    <mergeCell ref="AQ11:AR11"/>
    <mergeCell ref="AS11:AT11"/>
    <mergeCell ref="AG10:AH10"/>
    <mergeCell ref="AE9:AF9"/>
    <mergeCell ref="AG9:AH9"/>
    <mergeCell ref="AM8:AN8"/>
    <mergeCell ref="AU9:AV9"/>
    <mergeCell ref="AQ9:AR9"/>
    <mergeCell ref="AS9:AT9"/>
    <mergeCell ref="AM9:AN9"/>
    <mergeCell ref="AO9:AP9"/>
    <mergeCell ref="AA11:AB11"/>
    <mergeCell ref="AC11:AD11"/>
    <mergeCell ref="AE11:AF11"/>
    <mergeCell ref="AG11:AH11"/>
    <mergeCell ref="G11:H11"/>
    <mergeCell ref="I11:J11"/>
    <mergeCell ref="K11:L11"/>
    <mergeCell ref="M11:N11"/>
    <mergeCell ref="O11:P11"/>
    <mergeCell ref="Q11:R11"/>
    <mergeCell ref="S11:T11"/>
    <mergeCell ref="U11:V11"/>
    <mergeCell ref="G10:H10"/>
    <mergeCell ref="I10:J10"/>
    <mergeCell ref="K10:L10"/>
    <mergeCell ref="M10:N10"/>
    <mergeCell ref="O10:P10"/>
    <mergeCell ref="Q10:R10"/>
    <mergeCell ref="S10:T10"/>
    <mergeCell ref="W11:X11"/>
    <mergeCell ref="Y11:Z11"/>
    <mergeCell ref="AS10:AT10"/>
    <mergeCell ref="W8:X8"/>
    <mergeCell ref="Y8:Z8"/>
    <mergeCell ref="AA8:AB8"/>
    <mergeCell ref="S9:T9"/>
    <mergeCell ref="U9:V9"/>
    <mergeCell ref="W9:X9"/>
    <mergeCell ref="Y9:Z9"/>
    <mergeCell ref="AA9:AB9"/>
    <mergeCell ref="AG8:AH8"/>
    <mergeCell ref="AI8:AJ8"/>
    <mergeCell ref="AK8:AL8"/>
    <mergeCell ref="AC9:AD9"/>
    <mergeCell ref="AI9:AJ9"/>
    <mergeCell ref="AK9:AL9"/>
    <mergeCell ref="U10:V10"/>
    <mergeCell ref="W10:X10"/>
    <mergeCell ref="Y10:Z10"/>
    <mergeCell ref="AA10:AB10"/>
    <mergeCell ref="AC10:AD10"/>
    <mergeCell ref="AE10:AF10"/>
    <mergeCell ref="AO6:AP6"/>
    <mergeCell ref="AQ6:AR6"/>
    <mergeCell ref="AS6:AT6"/>
    <mergeCell ref="G8:H8"/>
    <mergeCell ref="I8:J8"/>
    <mergeCell ref="K8:L8"/>
    <mergeCell ref="M8:N8"/>
    <mergeCell ref="O8:P8"/>
    <mergeCell ref="Y6:Z6"/>
    <mergeCell ref="AA6:AB6"/>
    <mergeCell ref="AC6:AD6"/>
    <mergeCell ref="AE6:AF6"/>
    <mergeCell ref="AG6:AH6"/>
    <mergeCell ref="AI6:AJ6"/>
    <mergeCell ref="AO8:AP8"/>
    <mergeCell ref="AQ8:AR8"/>
    <mergeCell ref="AS8:AT8"/>
    <mergeCell ref="AE8:AF8"/>
    <mergeCell ref="AC5:AD5"/>
    <mergeCell ref="AE5:AF5"/>
    <mergeCell ref="AG5:AH5"/>
    <mergeCell ref="G9:H9"/>
    <mergeCell ref="I9:J9"/>
    <mergeCell ref="K9:L9"/>
    <mergeCell ref="M9:N9"/>
    <mergeCell ref="O9:P9"/>
    <mergeCell ref="Q9:R9"/>
    <mergeCell ref="Q4:R4"/>
    <mergeCell ref="S4:T4"/>
    <mergeCell ref="U4:V4"/>
    <mergeCell ref="Q8:R8"/>
    <mergeCell ref="S8:T8"/>
    <mergeCell ref="U8:V8"/>
    <mergeCell ref="AY5:BI5"/>
    <mergeCell ref="G6:H6"/>
    <mergeCell ref="I6:J6"/>
    <mergeCell ref="K6:L6"/>
    <mergeCell ref="M6:N6"/>
    <mergeCell ref="O6:P6"/>
    <mergeCell ref="Q6:R6"/>
    <mergeCell ref="S6:T6"/>
    <mergeCell ref="U6:V6"/>
    <mergeCell ref="W6:X6"/>
    <mergeCell ref="AK5:AL5"/>
    <mergeCell ref="AM5:AN5"/>
    <mergeCell ref="AO5:AP5"/>
    <mergeCell ref="AQ5:AR5"/>
    <mergeCell ref="AS5:AT5"/>
    <mergeCell ref="AU5:AV5"/>
    <mergeCell ref="Y5:Z5"/>
    <mergeCell ref="AA5:AB5"/>
    <mergeCell ref="W4:X4"/>
    <mergeCell ref="Y4:Z4"/>
    <mergeCell ref="AU6:AV6"/>
    <mergeCell ref="AI5:AJ5"/>
    <mergeCell ref="AK6:AL6"/>
    <mergeCell ref="AM6:AN6"/>
    <mergeCell ref="B4:B6"/>
    <mergeCell ref="AM4:AN4"/>
    <mergeCell ref="AO4:AP4"/>
    <mergeCell ref="AQ4:AR4"/>
    <mergeCell ref="AS4:AT4"/>
    <mergeCell ref="AU4:AV4"/>
    <mergeCell ref="O5:P5"/>
    <mergeCell ref="Q5:R5"/>
    <mergeCell ref="S5:T5"/>
    <mergeCell ref="U5:V5"/>
    <mergeCell ref="W5:X5"/>
    <mergeCell ref="AA4:AB4"/>
    <mergeCell ref="AC4:AD4"/>
    <mergeCell ref="AE4:AF4"/>
    <mergeCell ref="AG4:AH4"/>
    <mergeCell ref="AI4:AJ4"/>
    <mergeCell ref="AK4:AL4"/>
    <mergeCell ref="O4:P4"/>
  </mergeCells>
  <conditionalFormatting sqref="AY6:BI6 M6 O6 Q6 S6 U6 W6 Y6 AA6 AC6 AE6 AG6 AI6 AK6 AM6 AO6 AQ6 AS6 B13:B16 AU6">
    <cfRule type="expression" dxfId="54" priority="13">
      <formula>ROW()=CELL("Row")</formula>
    </cfRule>
  </conditionalFormatting>
  <conditionalFormatting sqref="AT13:AT24 AR13:AR24 AP13:AP24 AN13:AN24 AL13:AL24 AJ13:AJ24 AH13:AH24 AF13:AF24 P13:P24 R13:R24 T13:T24 V13:V24 X13:X24 Z13:Z24 AB13:AB24 AD13:AD24 N13:N24">
    <cfRule type="expression" dxfId="53" priority="12">
      <formula>(($C13=$C$8)*($M$8=""))+(($C13=$C$9)*($M$9=""))+(($C13=$C$10)*($M$10=""))+(($C13=$C$11)*($M$11=""))</formula>
    </cfRule>
  </conditionalFormatting>
  <conditionalFormatting sqref="K6 I6">
    <cfRule type="expression" dxfId="52" priority="11">
      <formula>ROW()=CELL("Row")</formula>
    </cfRule>
  </conditionalFormatting>
  <conditionalFormatting sqref="G6">
    <cfRule type="expression" dxfId="51" priority="10">
      <formula>ROW()=CELL("Row")</formula>
    </cfRule>
  </conditionalFormatting>
  <conditionalFormatting sqref="B19:B24">
    <cfRule type="expression" dxfId="50" priority="9">
      <formula>ROW()=CELL("Row")</formula>
    </cfRule>
  </conditionalFormatting>
  <conditionalFormatting sqref="A28">
    <cfRule type="expression" dxfId="49" priority="8">
      <formula>(($C28=$C$8)*($M$8=""))+(($C28=$C$9)*($M$9=""))+(($C28=$C$10)*($M$10=""))+(($C28=$C$11)*($M$11=""))</formula>
    </cfRule>
  </conditionalFormatting>
  <conditionalFormatting sqref="H14:H103">
    <cfRule type="expression" dxfId="48" priority="7">
      <formula>$A14="C"</formula>
    </cfRule>
  </conditionalFormatting>
  <conditionalFormatting sqref="J14:J109">
    <cfRule type="expression" dxfId="47" priority="6">
      <formula>$A14="C"</formula>
    </cfRule>
  </conditionalFormatting>
  <conditionalFormatting sqref="L14:L103">
    <cfRule type="expression" dxfId="46" priority="5">
      <formula>$A14="C"</formula>
    </cfRule>
  </conditionalFormatting>
  <conditionalFormatting sqref="AV13:AV24">
    <cfRule type="expression" dxfId="45" priority="4">
      <formula>(($C13=$C$8)*($M$8=""))+(($C13=$C$9)*($M$9=""))+(($C13=$C$10)*($M$10=""))+(($C13=$C$11)*($M$11=""))</formula>
    </cfRule>
  </conditionalFormatting>
  <conditionalFormatting sqref="D14:AV22 F23:F24">
    <cfRule type="cellIs" dxfId="44" priority="3" operator="equal">
      <formula>0</formula>
    </cfRule>
  </conditionalFormatting>
  <conditionalFormatting sqref="G23:AV23">
    <cfRule type="cellIs" dxfId="43" priority="2" operator="equal">
      <formula>0</formula>
    </cfRule>
  </conditionalFormatting>
  <conditionalFormatting sqref="G24:AV24">
    <cfRule type="cellIs" dxfId="42" priority="1" operator="equal">
      <formula>0</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0502C-05B5-40E2-BE2E-F6B0458134D5}">
  <sheetPr codeName="Sheet2"/>
  <dimension ref="A1:BI51"/>
  <sheetViews>
    <sheetView showGridLines="0" tabSelected="1" topLeftCell="A13" zoomScale="85" zoomScaleNormal="85" workbookViewId="0">
      <selection activeCell="J2" sqref="J2"/>
    </sheetView>
  </sheetViews>
  <sheetFormatPr defaultColWidth="8.85546875" defaultRowHeight="14.45"/>
  <cols>
    <col min="2" max="2" width="8.42578125" style="8" bestFit="1" customWidth="1"/>
    <col min="3" max="3" width="11" style="8" customWidth="1"/>
    <col min="4" max="4" width="10.42578125" style="8" bestFit="1" customWidth="1"/>
    <col min="5" max="5" width="9.140625" style="8" bestFit="1" customWidth="1"/>
    <col min="6" max="6" width="9.140625" style="8"/>
    <col min="7" max="7" width="13.140625" style="8" bestFit="1" customWidth="1"/>
    <col min="8" max="8" width="16.42578125" bestFit="1" customWidth="1"/>
    <col min="9" max="9" width="35.42578125" customWidth="1"/>
    <col min="10" max="10" width="71.28515625" bestFit="1" customWidth="1"/>
    <col min="11" max="11" width="71.5703125" customWidth="1"/>
    <col min="12" max="12" width="12.42578125" bestFit="1" customWidth="1"/>
  </cols>
  <sheetData>
    <row r="1" spans="1:61" s="160" customFormat="1"/>
    <row r="2" spans="1:61" s="160" customFormat="1"/>
    <row r="3" spans="1:61" s="160" customFormat="1"/>
    <row r="4" spans="1:61" s="161" customFormat="1" ht="18.600000000000001">
      <c r="A4" s="162" t="s">
        <v>94</v>
      </c>
      <c r="B4" s="163">
        <f>B5*0.23</f>
        <v>1.8975000000000002</v>
      </c>
      <c r="C4" s="163">
        <f t="shared" ref="C4:F4" si="0">C5*0.23</f>
        <v>1.1557500000000001</v>
      </c>
      <c r="D4" s="163">
        <f t="shared" si="0"/>
        <v>1.22475</v>
      </c>
      <c r="E4" s="163">
        <f t="shared" si="0"/>
        <v>1.4145000000000001</v>
      </c>
      <c r="F4" s="163">
        <f t="shared" si="0"/>
        <v>1.6560000000000001</v>
      </c>
    </row>
    <row r="5" spans="1:61" ht="18.600000000000001">
      <c r="A5" s="162" t="s">
        <v>95</v>
      </c>
      <c r="B5" s="163">
        <f>B6/5</f>
        <v>8.25</v>
      </c>
      <c r="C5" s="163">
        <f t="shared" ref="C5:E5" si="1">C6/5</f>
        <v>5.0250000000000004</v>
      </c>
      <c r="D5" s="163">
        <f t="shared" si="1"/>
        <v>5.3250000000000002</v>
      </c>
      <c r="E5" s="163">
        <f t="shared" si="1"/>
        <v>6.15</v>
      </c>
      <c r="F5" s="163">
        <f>F6/5</f>
        <v>7.2</v>
      </c>
      <c r="H5" s="195" t="s">
        <v>23</v>
      </c>
      <c r="I5" s="195"/>
    </row>
    <row r="6" spans="1:61" ht="18.600000000000001">
      <c r="A6" s="162" t="s">
        <v>96</v>
      </c>
      <c r="B6" s="163">
        <f>B7/8</f>
        <v>41.25</v>
      </c>
      <c r="C6" s="163">
        <f t="shared" ref="C6:F6" si="2">C7/8</f>
        <v>25.125</v>
      </c>
      <c r="D6" s="163">
        <f t="shared" si="2"/>
        <v>26.625</v>
      </c>
      <c r="E6" s="163">
        <f t="shared" si="2"/>
        <v>30.75</v>
      </c>
      <c r="F6" s="163">
        <f t="shared" si="2"/>
        <v>36</v>
      </c>
      <c r="H6" s="195"/>
      <c r="I6" s="195"/>
    </row>
    <row r="7" spans="1:61" ht="18.600000000000001">
      <c r="A7" s="162" t="s">
        <v>97</v>
      </c>
      <c r="B7" s="163" cm="1">
        <f t="array" ref="B7">SUM(IF(B9:B50="x",$L$9:$L$50,0))</f>
        <v>330</v>
      </c>
      <c r="C7" s="163" cm="1">
        <f t="array" ref="C7">SUM(IF(C9:C50="x",$L$9:$L$50,0))</f>
        <v>201</v>
      </c>
      <c r="D7" s="163" cm="1">
        <f t="array" ref="D7">SUM(IF(D9:D50="x",$L$9:$L$50,0))</f>
        <v>213</v>
      </c>
      <c r="E7" s="163" cm="1">
        <f t="array" ref="E7">SUM(IF(E9:E50="x",$L$9:$L$50,0))</f>
        <v>246</v>
      </c>
      <c r="F7" s="163" cm="1">
        <f t="array" ref="F7">SUM(IF(F9:F50="x",$L$9:$L$50,0))</f>
        <v>288</v>
      </c>
      <c r="J7" t="s">
        <v>98</v>
      </c>
    </row>
    <row r="8" spans="1:61" ht="23.45">
      <c r="B8" s="22" t="s">
        <v>99</v>
      </c>
      <c r="C8" s="22" t="s">
        <v>74</v>
      </c>
      <c r="D8" s="22" t="s">
        <v>100</v>
      </c>
      <c r="E8" s="22" t="s">
        <v>77</v>
      </c>
      <c r="F8" s="22" t="s">
        <v>78</v>
      </c>
      <c r="G8" s="22" t="s">
        <v>101</v>
      </c>
      <c r="H8" s="22" t="s">
        <v>102</v>
      </c>
      <c r="I8" s="22" t="s">
        <v>103</v>
      </c>
      <c r="J8" s="22" t="s">
        <v>104</v>
      </c>
      <c r="K8" s="22" t="s">
        <v>105</v>
      </c>
      <c r="L8" s="22" t="s">
        <v>106</v>
      </c>
      <c r="M8" s="156" t="s">
        <v>107</v>
      </c>
      <c r="P8" t="s">
        <v>108</v>
      </c>
      <c r="Q8" t="s">
        <v>109</v>
      </c>
      <c r="R8" t="s">
        <v>110</v>
      </c>
      <c r="S8" t="s">
        <v>111</v>
      </c>
      <c r="T8" t="s">
        <v>112</v>
      </c>
      <c r="U8" t="s">
        <v>113</v>
      </c>
      <c r="V8" t="s">
        <v>114</v>
      </c>
      <c r="W8" t="s">
        <v>115</v>
      </c>
      <c r="X8" t="s">
        <v>116</v>
      </c>
    </row>
    <row r="9" spans="1:61" ht="39.6" customHeight="1">
      <c r="B9" s="23" t="s">
        <v>75</v>
      </c>
      <c r="C9" s="37" t="s">
        <v>75</v>
      </c>
      <c r="D9" s="37" t="s">
        <v>75</v>
      </c>
      <c r="E9" s="37" t="s">
        <v>75</v>
      </c>
      <c r="F9" s="37" t="s">
        <v>75</v>
      </c>
      <c r="G9" s="37"/>
      <c r="H9" s="38" t="s">
        <v>117</v>
      </c>
      <c r="I9" s="39" t="s">
        <v>118</v>
      </c>
      <c r="J9" s="40"/>
      <c r="K9" s="41" t="s">
        <v>119</v>
      </c>
      <c r="L9" s="42">
        <v>1</v>
      </c>
      <c r="M9">
        <f>Table134[[#This Row],[Time /hrs]]/8</f>
        <v>0.125</v>
      </c>
      <c r="O9" t="s">
        <v>120</v>
      </c>
    </row>
    <row r="10" spans="1:61" ht="29.1">
      <c r="B10" s="23" t="s">
        <v>75</v>
      </c>
      <c r="C10" s="37" t="s">
        <v>75</v>
      </c>
      <c r="D10" s="37" t="s">
        <v>75</v>
      </c>
      <c r="E10" s="37"/>
      <c r="F10" s="37"/>
      <c r="G10" s="37"/>
      <c r="H10" s="38" t="s">
        <v>23</v>
      </c>
      <c r="I10" s="39" t="s">
        <v>31</v>
      </c>
      <c r="J10" s="40" t="s">
        <v>121</v>
      </c>
      <c r="K10" s="41" t="s">
        <v>122</v>
      </c>
      <c r="L10" s="42">
        <v>32</v>
      </c>
      <c r="M10">
        <f>Table134[[#This Row],[Time /hrs]]/8</f>
        <v>4</v>
      </c>
      <c r="P10" t="s">
        <v>123</v>
      </c>
      <c r="Q10" t="s">
        <v>124</v>
      </c>
      <c r="R10" t="s">
        <v>125</v>
      </c>
      <c r="S10" t="s">
        <v>126</v>
      </c>
      <c r="T10" t="s">
        <v>127</v>
      </c>
      <c r="U10" t="s">
        <v>128</v>
      </c>
      <c r="V10" t="s">
        <v>129</v>
      </c>
      <c r="W10" t="s">
        <v>130</v>
      </c>
      <c r="X10" t="s">
        <v>131</v>
      </c>
      <c r="Y10" t="s">
        <v>132</v>
      </c>
      <c r="Z10" t="s">
        <v>133</v>
      </c>
      <c r="AA10" t="s">
        <v>134</v>
      </c>
      <c r="AB10" t="s">
        <v>135</v>
      </c>
      <c r="AC10" t="s">
        <v>136</v>
      </c>
      <c r="AD10" t="s">
        <v>137</v>
      </c>
      <c r="AE10" t="s">
        <v>138</v>
      </c>
      <c r="AF10" t="s">
        <v>139</v>
      </c>
      <c r="AG10" t="s">
        <v>140</v>
      </c>
      <c r="AH10" t="s">
        <v>141</v>
      </c>
      <c r="AI10" t="s">
        <v>142</v>
      </c>
      <c r="AJ10" t="s">
        <v>143</v>
      </c>
      <c r="AK10" t="s">
        <v>144</v>
      </c>
      <c r="AL10" t="s">
        <v>145</v>
      </c>
      <c r="AM10" t="s">
        <v>146</v>
      </c>
      <c r="AN10" t="s">
        <v>147</v>
      </c>
      <c r="AO10" t="s">
        <v>148</v>
      </c>
      <c r="AP10" t="s">
        <v>149</v>
      </c>
      <c r="AQ10" t="s">
        <v>150</v>
      </c>
      <c r="AR10" t="s">
        <v>151</v>
      </c>
      <c r="AS10" t="s">
        <v>152</v>
      </c>
      <c r="AT10" t="s">
        <v>153</v>
      </c>
      <c r="AU10" t="s">
        <v>154</v>
      </c>
      <c r="AV10" t="s">
        <v>155</v>
      </c>
      <c r="AW10" t="s">
        <v>156</v>
      </c>
      <c r="AX10" t="s">
        <v>157</v>
      </c>
      <c r="AY10" t="s">
        <v>158</v>
      </c>
      <c r="AZ10" t="s">
        <v>159</v>
      </c>
      <c r="BA10" t="s">
        <v>160</v>
      </c>
    </row>
    <row r="11" spans="1:61" ht="76.5">
      <c r="B11" s="23" t="s">
        <v>75</v>
      </c>
      <c r="C11" s="37" t="s">
        <v>75</v>
      </c>
      <c r="D11" s="37" t="s">
        <v>75</v>
      </c>
      <c r="E11" s="37"/>
      <c r="F11" s="37" t="s">
        <v>75</v>
      </c>
      <c r="G11" s="37"/>
      <c r="H11" s="38" t="s">
        <v>161</v>
      </c>
      <c r="I11" s="43" t="s">
        <v>33</v>
      </c>
      <c r="J11" s="40" t="s">
        <v>162</v>
      </c>
      <c r="K11" s="41" t="s">
        <v>163</v>
      </c>
      <c r="L11" s="42">
        <v>10</v>
      </c>
      <c r="M11">
        <f>Table134[[#This Row],[Time /hrs]]/8</f>
        <v>1.25</v>
      </c>
    </row>
    <row r="12" spans="1:61" ht="30.75">
      <c r="B12" s="23"/>
      <c r="C12" s="37"/>
      <c r="D12" s="37"/>
      <c r="E12" s="37"/>
      <c r="F12" s="37"/>
      <c r="G12" s="37"/>
      <c r="H12" s="38" t="s">
        <v>164</v>
      </c>
      <c r="I12" s="39" t="s">
        <v>34</v>
      </c>
      <c r="J12" s="40" t="s">
        <v>165</v>
      </c>
      <c r="K12" s="41" t="s">
        <v>122</v>
      </c>
      <c r="L12" s="42">
        <v>40</v>
      </c>
      <c r="M12">
        <f>Table134[[#This Row],[Time /hrs]]/8</f>
        <v>5</v>
      </c>
    </row>
    <row r="13" spans="1:61" ht="30.75">
      <c r="B13" s="23" t="s">
        <v>75</v>
      </c>
      <c r="C13" s="37" t="s">
        <v>75</v>
      </c>
      <c r="D13" s="37" t="s">
        <v>75</v>
      </c>
      <c r="E13" s="37"/>
      <c r="F13" s="37"/>
      <c r="G13" s="37"/>
      <c r="H13" s="38" t="s">
        <v>166</v>
      </c>
      <c r="I13" s="43" t="s">
        <v>167</v>
      </c>
      <c r="J13" s="40" t="s">
        <v>168</v>
      </c>
      <c r="K13" s="41" t="s">
        <v>122</v>
      </c>
      <c r="L13" s="42">
        <v>10</v>
      </c>
      <c r="M13">
        <f>Table134[[#This Row],[Time /hrs]]/8</f>
        <v>1.25</v>
      </c>
      <c r="P13" t="s">
        <v>169</v>
      </c>
      <c r="Q13" t="s">
        <v>170</v>
      </c>
      <c r="R13" t="s">
        <v>125</v>
      </c>
      <c r="S13" t="s">
        <v>171</v>
      </c>
      <c r="T13" t="s">
        <v>172</v>
      </c>
      <c r="U13" t="s">
        <v>173</v>
      </c>
      <c r="V13" t="s">
        <v>174</v>
      </c>
      <c r="W13" t="s">
        <v>175</v>
      </c>
      <c r="X13" t="s">
        <v>131</v>
      </c>
      <c r="Y13" t="s">
        <v>176</v>
      </c>
      <c r="Z13" t="s">
        <v>177</v>
      </c>
      <c r="AA13" t="s">
        <v>178</v>
      </c>
      <c r="AB13" t="s">
        <v>179</v>
      </c>
      <c r="AC13" t="s">
        <v>180</v>
      </c>
      <c r="AD13" t="s">
        <v>181</v>
      </c>
      <c r="AE13" t="s">
        <v>182</v>
      </c>
      <c r="AF13" t="s">
        <v>183</v>
      </c>
      <c r="AG13" t="s">
        <v>184</v>
      </c>
      <c r="AH13" t="s">
        <v>185</v>
      </c>
      <c r="AI13" t="s">
        <v>186</v>
      </c>
      <c r="AJ13" t="s">
        <v>187</v>
      </c>
      <c r="AK13" t="s">
        <v>188</v>
      </c>
      <c r="AL13" t="s">
        <v>189</v>
      </c>
      <c r="AM13" t="s">
        <v>190</v>
      </c>
      <c r="AN13" t="s">
        <v>191</v>
      </c>
      <c r="AO13" t="s">
        <v>192</v>
      </c>
      <c r="AP13" t="s">
        <v>159</v>
      </c>
      <c r="AQ13" t="s">
        <v>193</v>
      </c>
    </row>
    <row r="14" spans="1:61" ht="46.5">
      <c r="B14" s="23"/>
      <c r="C14" s="37"/>
      <c r="D14" s="37"/>
      <c r="E14" s="37"/>
      <c r="F14" s="37"/>
      <c r="G14" s="37"/>
      <c r="H14" s="44" t="s">
        <v>194</v>
      </c>
      <c r="I14" s="44" t="s">
        <v>36</v>
      </c>
      <c r="J14" s="45" t="s">
        <v>195</v>
      </c>
      <c r="K14" s="44" t="s">
        <v>196</v>
      </c>
      <c r="L14" s="46">
        <v>16</v>
      </c>
      <c r="M14">
        <f>Table134[[#This Row],[Time /hrs]]/8</f>
        <v>2</v>
      </c>
    </row>
    <row r="15" spans="1:61" ht="29.1">
      <c r="B15" s="23" t="s">
        <v>75</v>
      </c>
      <c r="C15" s="37" t="s">
        <v>75</v>
      </c>
      <c r="D15" s="37" t="s">
        <v>75</v>
      </c>
      <c r="E15" s="37" t="s">
        <v>75</v>
      </c>
      <c r="F15" s="37" t="s">
        <v>75</v>
      </c>
      <c r="G15" s="37"/>
      <c r="H15" s="38" t="s">
        <v>197</v>
      </c>
      <c r="I15" s="43" t="s">
        <v>37</v>
      </c>
      <c r="J15" s="40" t="s">
        <v>198</v>
      </c>
      <c r="K15" s="41" t="s">
        <v>122</v>
      </c>
      <c r="L15" s="42">
        <v>24</v>
      </c>
      <c r="M15">
        <f>Table134[[#This Row],[Time /hrs]]/8</f>
        <v>3</v>
      </c>
      <c r="P15" t="s">
        <v>199</v>
      </c>
      <c r="Q15" t="s">
        <v>200</v>
      </c>
      <c r="R15" t="s">
        <v>125</v>
      </c>
      <c r="S15" t="s">
        <v>201</v>
      </c>
      <c r="T15" t="s">
        <v>202</v>
      </c>
      <c r="U15" t="s">
        <v>203</v>
      </c>
      <c r="V15" t="s">
        <v>204</v>
      </c>
      <c r="W15" t="s">
        <v>205</v>
      </c>
      <c r="X15" t="s">
        <v>131</v>
      </c>
      <c r="Y15" t="s">
        <v>206</v>
      </c>
      <c r="Z15" t="s">
        <v>207</v>
      </c>
      <c r="AA15" t="s">
        <v>208</v>
      </c>
      <c r="AB15" t="s">
        <v>209</v>
      </c>
      <c r="AC15" t="s">
        <v>210</v>
      </c>
      <c r="AD15" t="s">
        <v>211</v>
      </c>
      <c r="AE15" t="s">
        <v>212</v>
      </c>
      <c r="AF15" t="s">
        <v>213</v>
      </c>
      <c r="AG15" t="s">
        <v>214</v>
      </c>
      <c r="AH15" t="s">
        <v>215</v>
      </c>
      <c r="AI15" t="s">
        <v>216</v>
      </c>
      <c r="AJ15" t="s">
        <v>217</v>
      </c>
      <c r="AK15" t="s">
        <v>218</v>
      </c>
      <c r="AL15" t="s">
        <v>219</v>
      </c>
      <c r="AM15" t="s">
        <v>220</v>
      </c>
      <c r="AN15" t="s">
        <v>221</v>
      </c>
      <c r="AO15" t="s">
        <v>222</v>
      </c>
      <c r="AP15" t="s">
        <v>223</v>
      </c>
      <c r="AQ15" t="s">
        <v>224</v>
      </c>
      <c r="AR15" t="s">
        <v>225</v>
      </c>
      <c r="AS15" t="s">
        <v>226</v>
      </c>
      <c r="AT15" t="s">
        <v>227</v>
      </c>
      <c r="AU15" t="s">
        <v>228</v>
      </c>
      <c r="AV15" t="s">
        <v>229</v>
      </c>
      <c r="AW15" t="s">
        <v>230</v>
      </c>
      <c r="AX15" t="s">
        <v>231</v>
      </c>
      <c r="AY15" t="s">
        <v>232</v>
      </c>
      <c r="AZ15" t="s">
        <v>233</v>
      </c>
      <c r="BA15" t="s">
        <v>234</v>
      </c>
      <c r="BB15" t="s">
        <v>235</v>
      </c>
      <c r="BC15" t="s">
        <v>236</v>
      </c>
      <c r="BD15" t="s">
        <v>237</v>
      </c>
      <c r="BE15" t="s">
        <v>238</v>
      </c>
      <c r="BF15" t="s">
        <v>239</v>
      </c>
      <c r="BG15" t="s">
        <v>240</v>
      </c>
      <c r="BH15" t="s">
        <v>241</v>
      </c>
      <c r="BI15" t="s">
        <v>242</v>
      </c>
    </row>
    <row r="16" spans="1:61" ht="76.5">
      <c r="B16" s="23" t="s">
        <v>75</v>
      </c>
      <c r="C16" s="37" t="s">
        <v>75</v>
      </c>
      <c r="D16" s="37" t="s">
        <v>75</v>
      </c>
      <c r="E16" s="37" t="s">
        <v>75</v>
      </c>
      <c r="F16" s="37" t="s">
        <v>75</v>
      </c>
      <c r="G16" s="37"/>
      <c r="H16" s="38" t="s">
        <v>243</v>
      </c>
      <c r="I16" s="43" t="s">
        <v>38</v>
      </c>
      <c r="J16" s="40" t="s">
        <v>244</v>
      </c>
      <c r="K16" s="41" t="s">
        <v>245</v>
      </c>
      <c r="L16" s="42">
        <v>4</v>
      </c>
      <c r="M16">
        <f>Table134[[#This Row],[Time /hrs]]/8</f>
        <v>0.5</v>
      </c>
    </row>
    <row r="17" spans="2:41" ht="62.1">
      <c r="B17" s="25" t="s">
        <v>75</v>
      </c>
      <c r="C17" s="37" t="s">
        <v>75</v>
      </c>
      <c r="D17" s="37" t="s">
        <v>75</v>
      </c>
      <c r="E17" s="37" t="s">
        <v>75</v>
      </c>
      <c r="F17" s="37" t="s">
        <v>75</v>
      </c>
      <c r="G17" s="37"/>
      <c r="H17" s="44" t="s">
        <v>194</v>
      </c>
      <c r="I17" s="44" t="s">
        <v>39</v>
      </c>
      <c r="J17" s="45" t="s">
        <v>246</v>
      </c>
      <c r="K17" s="44" t="s">
        <v>247</v>
      </c>
      <c r="L17" s="46">
        <v>16</v>
      </c>
      <c r="M17">
        <f>Table134[[#This Row],[Time /hrs]]/8</f>
        <v>2</v>
      </c>
    </row>
    <row r="18" spans="2:41" ht="30.75">
      <c r="B18" s="25" t="s">
        <v>75</v>
      </c>
      <c r="C18" s="47" t="s">
        <v>75</v>
      </c>
      <c r="D18" s="47" t="s">
        <v>75</v>
      </c>
      <c r="E18" s="37" t="s">
        <v>75</v>
      </c>
      <c r="F18" s="37" t="s">
        <v>75</v>
      </c>
      <c r="G18" s="37"/>
      <c r="H18" s="38" t="s">
        <v>248</v>
      </c>
      <c r="I18" s="43" t="s">
        <v>40</v>
      </c>
      <c r="J18" s="40" t="s">
        <v>249</v>
      </c>
      <c r="K18" s="41" t="s">
        <v>122</v>
      </c>
      <c r="L18" s="42">
        <v>8</v>
      </c>
      <c r="M18">
        <f>Table134[[#This Row],[Time /hrs]]/8</f>
        <v>1</v>
      </c>
      <c r="P18" t="s">
        <v>250</v>
      </c>
      <c r="Q18" t="s">
        <v>251</v>
      </c>
      <c r="R18" t="s">
        <v>252</v>
      </c>
      <c r="S18" t="s">
        <v>253</v>
      </c>
      <c r="T18" t="s">
        <v>254</v>
      </c>
      <c r="U18" t="s">
        <v>255</v>
      </c>
      <c r="V18" t="s">
        <v>256</v>
      </c>
      <c r="W18" t="s">
        <v>257</v>
      </c>
      <c r="X18" t="s">
        <v>131</v>
      </c>
      <c r="Y18" t="s">
        <v>258</v>
      </c>
      <c r="Z18" t="s">
        <v>259</v>
      </c>
      <c r="AA18" t="s">
        <v>260</v>
      </c>
      <c r="AB18" t="s">
        <v>261</v>
      </c>
      <c r="AC18" t="s">
        <v>262</v>
      </c>
      <c r="AD18" t="s">
        <v>263</v>
      </c>
      <c r="AE18" t="s">
        <v>264</v>
      </c>
      <c r="AF18" t="s">
        <v>265</v>
      </c>
      <c r="AG18" t="s">
        <v>266</v>
      </c>
      <c r="AH18" t="s">
        <v>267</v>
      </c>
      <c r="AI18" t="s">
        <v>268</v>
      </c>
      <c r="AJ18" t="s">
        <v>269</v>
      </c>
      <c r="AK18" t="s">
        <v>270</v>
      </c>
      <c r="AL18" t="s">
        <v>271</v>
      </c>
      <c r="AM18" t="s">
        <v>272</v>
      </c>
      <c r="AN18" t="s">
        <v>273</v>
      </c>
      <c r="AO18" t="s">
        <v>274</v>
      </c>
    </row>
    <row r="19" spans="2:41" ht="30.75">
      <c r="B19" s="23" t="s">
        <v>75</v>
      </c>
      <c r="C19" s="47"/>
      <c r="D19" s="47" t="s">
        <v>75</v>
      </c>
      <c r="E19" s="37" t="s">
        <v>75</v>
      </c>
      <c r="F19" s="37" t="s">
        <v>75</v>
      </c>
      <c r="G19" s="37"/>
      <c r="H19" s="38" t="s">
        <v>275</v>
      </c>
      <c r="I19" s="43" t="s">
        <v>41</v>
      </c>
      <c r="J19" s="40" t="s">
        <v>276</v>
      </c>
      <c r="K19" s="41" t="s">
        <v>122</v>
      </c>
      <c r="L19" s="42">
        <v>12</v>
      </c>
      <c r="M19">
        <f>Table134[[#This Row],[Time /hrs]]/8</f>
        <v>1.5</v>
      </c>
    </row>
    <row r="20" spans="2:41" ht="30.75">
      <c r="B20" s="23" t="s">
        <v>75</v>
      </c>
      <c r="C20" s="37"/>
      <c r="D20" s="37"/>
      <c r="E20" s="37" t="s">
        <v>75</v>
      </c>
      <c r="F20" s="37" t="s">
        <v>75</v>
      </c>
      <c r="G20" s="37"/>
      <c r="H20" s="38" t="s">
        <v>42</v>
      </c>
      <c r="I20" s="43" t="s">
        <v>42</v>
      </c>
      <c r="J20" s="40" t="s">
        <v>277</v>
      </c>
      <c r="K20" s="41" t="s">
        <v>122</v>
      </c>
      <c r="L20" s="42">
        <v>32</v>
      </c>
      <c r="M20">
        <f>Table134[[#This Row],[Time /hrs]]/8</f>
        <v>4</v>
      </c>
    </row>
    <row r="21" spans="2:41" ht="30.95">
      <c r="B21" s="25" t="s">
        <v>75</v>
      </c>
      <c r="C21" s="37"/>
      <c r="D21" s="37"/>
      <c r="E21" s="37" t="s">
        <v>75</v>
      </c>
      <c r="F21" s="37" t="s">
        <v>75</v>
      </c>
      <c r="G21" s="37"/>
      <c r="H21" s="44" t="s">
        <v>194</v>
      </c>
      <c r="I21" s="44" t="s">
        <v>43</v>
      </c>
      <c r="J21" s="45" t="s">
        <v>278</v>
      </c>
      <c r="K21" s="44" t="s">
        <v>196</v>
      </c>
      <c r="L21" s="46">
        <v>24</v>
      </c>
      <c r="M21">
        <f>Table134[[#This Row],[Time /hrs]]/8</f>
        <v>3</v>
      </c>
    </row>
    <row r="22" spans="2:41" ht="30.75">
      <c r="B22" s="25" t="s">
        <v>75</v>
      </c>
      <c r="C22" s="47"/>
      <c r="D22" s="47"/>
      <c r="E22" s="37" t="s">
        <v>75</v>
      </c>
      <c r="F22" s="37" t="s">
        <v>75</v>
      </c>
      <c r="G22" s="37"/>
      <c r="H22" s="38" t="s">
        <v>279</v>
      </c>
      <c r="I22" s="43" t="s">
        <v>280</v>
      </c>
      <c r="J22" s="40" t="s">
        <v>281</v>
      </c>
      <c r="K22" s="41" t="s">
        <v>282</v>
      </c>
      <c r="L22" s="42">
        <v>2.5</v>
      </c>
      <c r="M22">
        <f>Table134[[#This Row],[Time /hrs]]/8</f>
        <v>0.3125</v>
      </c>
    </row>
    <row r="23" spans="2:41" ht="30.75">
      <c r="B23" s="25" t="s">
        <v>75</v>
      </c>
      <c r="C23" s="47"/>
      <c r="D23" s="47"/>
      <c r="E23" s="37" t="s">
        <v>75</v>
      </c>
      <c r="F23" s="37" t="s">
        <v>75</v>
      </c>
      <c r="G23" s="37"/>
      <c r="H23" s="38" t="s">
        <v>279</v>
      </c>
      <c r="I23" s="43" t="s">
        <v>283</v>
      </c>
      <c r="J23" s="40" t="s">
        <v>284</v>
      </c>
      <c r="K23" s="41" t="s">
        <v>282</v>
      </c>
      <c r="L23" s="42">
        <v>2.5</v>
      </c>
      <c r="M23">
        <f>Table134[[#This Row],[Time /hrs]]/8</f>
        <v>0.3125</v>
      </c>
    </row>
    <row r="24" spans="2:41" ht="30.75">
      <c r="B24" s="23" t="s">
        <v>75</v>
      </c>
      <c r="C24" s="47"/>
      <c r="D24" s="47"/>
      <c r="E24" s="37" t="s">
        <v>75</v>
      </c>
      <c r="F24" s="37" t="s">
        <v>75</v>
      </c>
      <c r="G24" s="37"/>
      <c r="H24" s="38" t="s">
        <v>279</v>
      </c>
      <c r="I24" s="43" t="s">
        <v>46</v>
      </c>
      <c r="J24" s="40" t="s">
        <v>285</v>
      </c>
      <c r="K24" s="41" t="s">
        <v>286</v>
      </c>
      <c r="L24" s="42">
        <v>24</v>
      </c>
      <c r="M24">
        <f>Table134[[#This Row],[Time /hrs]]/8</f>
        <v>3</v>
      </c>
    </row>
    <row r="25" spans="2:41" ht="210.75" customHeight="1">
      <c r="B25" s="23" t="s">
        <v>75</v>
      </c>
      <c r="C25" s="37"/>
      <c r="D25" s="37"/>
      <c r="E25" s="37"/>
      <c r="F25" s="37" t="s">
        <v>75</v>
      </c>
      <c r="G25" s="37"/>
      <c r="H25" s="44" t="s">
        <v>194</v>
      </c>
      <c r="I25" s="44" t="s">
        <v>47</v>
      </c>
      <c r="J25" s="45" t="s">
        <v>287</v>
      </c>
      <c r="K25" s="44" t="s">
        <v>196</v>
      </c>
      <c r="L25" s="46">
        <v>32</v>
      </c>
      <c r="M25">
        <f>Table134[[#This Row],[Time /hrs]]/8</f>
        <v>4</v>
      </c>
    </row>
    <row r="26" spans="2:41" ht="188.45">
      <c r="B26" s="23" t="s">
        <v>75</v>
      </c>
      <c r="C26" s="37" t="s">
        <v>75</v>
      </c>
      <c r="D26" s="37" t="s">
        <v>75</v>
      </c>
      <c r="E26" s="37" t="s">
        <v>75</v>
      </c>
      <c r="F26" s="37" t="s">
        <v>75</v>
      </c>
      <c r="G26" s="37"/>
      <c r="H26" s="48" t="s">
        <v>288</v>
      </c>
      <c r="I26" s="49" t="s">
        <v>48</v>
      </c>
      <c r="J26" s="50" t="s">
        <v>289</v>
      </c>
      <c r="K26" s="51" t="s">
        <v>196</v>
      </c>
      <c r="L26" s="52">
        <v>96</v>
      </c>
      <c r="M26">
        <f>Table134[[#This Row],[Time /hrs]]/8</f>
        <v>12</v>
      </c>
      <c r="P26">
        <f>396/8</f>
        <v>49.5</v>
      </c>
      <c r="Q26">
        <f>P26/5</f>
        <v>9.9</v>
      </c>
      <c r="R26">
        <f>90/8</f>
        <v>11.25</v>
      </c>
    </row>
    <row r="27" spans="2:41" ht="43.5">
      <c r="B27" s="23"/>
      <c r="C27" s="37" t="s">
        <v>50</v>
      </c>
      <c r="D27" s="37" t="s">
        <v>50</v>
      </c>
      <c r="E27" s="37" t="s">
        <v>50</v>
      </c>
      <c r="F27" s="37" t="s">
        <v>50</v>
      </c>
      <c r="G27" s="49"/>
      <c r="H27" s="38" t="s">
        <v>290</v>
      </c>
      <c r="I27" s="38" t="s">
        <v>291</v>
      </c>
      <c r="J27" s="165"/>
      <c r="K27" s="165" t="s">
        <v>292</v>
      </c>
      <c r="L27" s="46">
        <v>1</v>
      </c>
      <c r="M27">
        <f>Table134[[#This Row],[Time /hrs]]/8</f>
        <v>0.125</v>
      </c>
    </row>
    <row r="28" spans="2:41" s="27" customFormat="1" ht="15.75" customHeight="1">
      <c r="B28" s="26"/>
      <c r="C28" s="37"/>
      <c r="D28" s="37"/>
      <c r="E28" s="37"/>
      <c r="F28" s="37"/>
      <c r="G28" s="37"/>
      <c r="H28" s="44"/>
      <c r="I28" s="44"/>
      <c r="J28" s="45"/>
      <c r="K28" s="43"/>
      <c r="L28" s="46"/>
      <c r="M28" s="27">
        <f>Table134[[#This Row],[Time /hrs]]/8</f>
        <v>0</v>
      </c>
    </row>
    <row r="29" spans="2:41" ht="15.6">
      <c r="B29" s="23"/>
      <c r="C29" s="53"/>
      <c r="D29" s="53"/>
      <c r="E29" s="53"/>
      <c r="F29" s="53"/>
      <c r="G29" s="53"/>
      <c r="H29" s="54"/>
      <c r="I29" s="54"/>
      <c r="J29" s="166"/>
      <c r="K29" s="55"/>
      <c r="L29" s="56"/>
      <c r="M29">
        <f>Table134[[#This Row],[Time /hrs]]/8</f>
        <v>0</v>
      </c>
      <c r="P29">
        <f>181/8</f>
        <v>22.625</v>
      </c>
    </row>
    <row r="30" spans="2:41" ht="15.6">
      <c r="B30" s="23"/>
      <c r="C30" s="37"/>
      <c r="D30" s="37"/>
      <c r="E30" s="37"/>
      <c r="F30" s="37"/>
      <c r="G30" s="37"/>
      <c r="H30" s="38" t="s">
        <v>23</v>
      </c>
      <c r="I30" s="38" t="s">
        <v>49</v>
      </c>
      <c r="J30" s="40" t="s">
        <v>293</v>
      </c>
      <c r="K30" s="57" t="s">
        <v>294</v>
      </c>
      <c r="L30" s="46">
        <v>1</v>
      </c>
      <c r="M30">
        <f>Table134[[#This Row],[Time /hrs]]/8</f>
        <v>0.125</v>
      </c>
    </row>
    <row r="31" spans="2:41" ht="15.6">
      <c r="B31" s="23"/>
      <c r="C31" s="37"/>
      <c r="D31" s="37"/>
      <c r="E31" s="37"/>
      <c r="F31" s="37"/>
      <c r="G31" s="37"/>
      <c r="H31" s="38" t="s">
        <v>23</v>
      </c>
      <c r="I31" s="38" t="s">
        <v>49</v>
      </c>
      <c r="J31" s="40" t="s">
        <v>295</v>
      </c>
      <c r="K31" s="57" t="s">
        <v>296</v>
      </c>
      <c r="L31" s="46">
        <v>0.5</v>
      </c>
      <c r="M31">
        <f>Table134[[#This Row],[Time /hrs]]/8</f>
        <v>6.25E-2</v>
      </c>
    </row>
    <row r="32" spans="2:41" ht="15.6">
      <c r="B32" s="23"/>
      <c r="C32" s="37"/>
      <c r="D32" s="37"/>
      <c r="E32" s="37"/>
      <c r="F32" s="37"/>
      <c r="G32" s="37"/>
      <c r="H32" s="38" t="s">
        <v>23</v>
      </c>
      <c r="I32" s="38" t="s">
        <v>49</v>
      </c>
      <c r="J32" s="40" t="s">
        <v>297</v>
      </c>
      <c r="K32" s="57" t="s">
        <v>298</v>
      </c>
      <c r="L32" s="46">
        <v>0.5</v>
      </c>
      <c r="M32">
        <f>Table134[[#This Row],[Time /hrs]]/8</f>
        <v>6.25E-2</v>
      </c>
    </row>
    <row r="33" spans="2:13" ht="101.45">
      <c r="B33" s="23"/>
      <c r="C33" s="37"/>
      <c r="D33" s="37"/>
      <c r="E33" s="37"/>
      <c r="F33" s="37"/>
      <c r="G33" s="37"/>
      <c r="H33" s="38" t="s">
        <v>288</v>
      </c>
      <c r="I33" s="39" t="s">
        <v>48</v>
      </c>
      <c r="J33" s="40" t="s">
        <v>299</v>
      </c>
      <c r="K33" s="43" t="s">
        <v>196</v>
      </c>
      <c r="L33" s="42">
        <v>60</v>
      </c>
      <c r="M33">
        <f>Table134[[#This Row],[Time /hrs]]/8</f>
        <v>7.5</v>
      </c>
    </row>
    <row r="34" spans="2:13" ht="15.6">
      <c r="B34" s="23"/>
      <c r="C34" s="37"/>
      <c r="D34" s="37"/>
      <c r="E34" s="37"/>
      <c r="F34" s="37"/>
      <c r="G34" s="37"/>
      <c r="H34" s="58" t="s">
        <v>300</v>
      </c>
      <c r="I34" s="58" t="s">
        <v>50</v>
      </c>
      <c r="J34" s="40" t="s">
        <v>50</v>
      </c>
      <c r="K34" s="44" t="s">
        <v>50</v>
      </c>
      <c r="L34" s="42" t="s">
        <v>50</v>
      </c>
      <c r="M34" t="e">
        <f>Table134[[#This Row],[Time /hrs]]/8</f>
        <v>#VALUE!</v>
      </c>
    </row>
    <row r="35" spans="2:13" ht="29.1">
      <c r="B35" s="23"/>
      <c r="C35" s="37"/>
      <c r="D35" s="37"/>
      <c r="E35" s="37"/>
      <c r="F35" s="37"/>
      <c r="G35" s="37"/>
      <c r="H35" s="39" t="s">
        <v>301</v>
      </c>
      <c r="I35" s="43" t="s">
        <v>51</v>
      </c>
      <c r="J35" s="40" t="s">
        <v>302</v>
      </c>
      <c r="K35" s="57" t="s">
        <v>122</v>
      </c>
      <c r="L35" s="42">
        <v>12</v>
      </c>
      <c r="M35">
        <f>Table134[[#This Row],[Time /hrs]]/8</f>
        <v>1.5</v>
      </c>
    </row>
    <row r="36" spans="2:13" ht="29.1">
      <c r="B36" s="23"/>
      <c r="C36" s="37"/>
      <c r="D36" s="37"/>
      <c r="E36" s="37"/>
      <c r="F36" s="37"/>
      <c r="G36" s="37"/>
      <c r="H36" s="39" t="s">
        <v>301</v>
      </c>
      <c r="I36" s="43" t="s">
        <v>52</v>
      </c>
      <c r="J36" s="40" t="s">
        <v>303</v>
      </c>
      <c r="K36" s="57" t="s">
        <v>122</v>
      </c>
      <c r="L36" s="42">
        <v>4</v>
      </c>
      <c r="M36">
        <f>Table134[[#This Row],[Time /hrs]]/8</f>
        <v>0.5</v>
      </c>
    </row>
    <row r="37" spans="2:13" ht="29.1">
      <c r="B37" s="23"/>
      <c r="C37" s="37"/>
      <c r="D37" s="37"/>
      <c r="E37" s="37"/>
      <c r="F37" s="37"/>
      <c r="G37" s="37"/>
      <c r="H37" s="39" t="s">
        <v>304</v>
      </c>
      <c r="I37" s="43" t="s">
        <v>53</v>
      </c>
      <c r="J37" s="40" t="s">
        <v>305</v>
      </c>
      <c r="K37" s="57" t="s">
        <v>306</v>
      </c>
      <c r="L37" s="42">
        <v>16</v>
      </c>
      <c r="M37">
        <f>Table134[[#This Row],[Time /hrs]]/8</f>
        <v>2</v>
      </c>
    </row>
    <row r="38" spans="2:13" ht="29.1">
      <c r="B38" s="88"/>
      <c r="C38" s="89"/>
      <c r="D38" s="89"/>
      <c r="E38" s="89"/>
      <c r="F38" s="89"/>
      <c r="G38" s="89"/>
      <c r="H38" s="90"/>
      <c r="I38" s="91" t="s">
        <v>54</v>
      </c>
      <c r="J38" s="92" t="s">
        <v>307</v>
      </c>
      <c r="K38" s="93" t="s">
        <v>122</v>
      </c>
      <c r="L38" s="94">
        <v>30</v>
      </c>
      <c r="M38">
        <f>Table134[[#This Row],[Time /hrs]]/8</f>
        <v>3.75</v>
      </c>
    </row>
    <row r="39" spans="2:13" ht="29.1">
      <c r="B39" s="76"/>
      <c r="C39" s="77"/>
      <c r="D39" s="77"/>
      <c r="E39" s="77"/>
      <c r="F39" s="77"/>
      <c r="G39" s="77"/>
      <c r="H39" s="78" t="s">
        <v>279</v>
      </c>
      <c r="I39" s="79" t="s">
        <v>55</v>
      </c>
      <c r="J39" s="80" t="s">
        <v>308</v>
      </c>
      <c r="K39" s="81" t="s">
        <v>309</v>
      </c>
      <c r="L39" s="82">
        <v>48</v>
      </c>
      <c r="M39">
        <f>Table134[[#This Row],[Time /hrs]]/8</f>
        <v>6</v>
      </c>
    </row>
    <row r="40" spans="2:13" ht="43.5">
      <c r="B40" s="95"/>
      <c r="C40" s="96"/>
      <c r="D40" s="96"/>
      <c r="E40" s="96"/>
      <c r="F40" s="96"/>
      <c r="G40" s="96"/>
      <c r="H40" s="97" t="s">
        <v>194</v>
      </c>
      <c r="I40" s="97" t="s">
        <v>56</v>
      </c>
      <c r="J40" s="98" t="s">
        <v>310</v>
      </c>
      <c r="K40" s="99" t="s">
        <v>196</v>
      </c>
      <c r="L40" s="100">
        <v>32</v>
      </c>
      <c r="M40">
        <f>Table134[[#This Row],[Time /hrs]]/8</f>
        <v>4</v>
      </c>
    </row>
    <row r="41" spans="2:13">
      <c r="B41" s="83"/>
      <c r="C41" s="83"/>
      <c r="D41" s="83"/>
      <c r="E41" s="83"/>
      <c r="F41" s="83"/>
      <c r="G41" s="83"/>
      <c r="H41" s="84"/>
      <c r="I41" s="84" t="s">
        <v>311</v>
      </c>
      <c r="J41" s="85" t="s">
        <v>312</v>
      </c>
      <c r="K41" s="86"/>
      <c r="L41" s="87"/>
      <c r="M41">
        <f>Table134[[#This Row],[Time /hrs]]/8</f>
        <v>0</v>
      </c>
    </row>
    <row r="42" spans="2:13">
      <c r="B42" s="83"/>
      <c r="C42" s="83"/>
      <c r="D42" s="83"/>
      <c r="E42" s="83"/>
      <c r="F42" s="83"/>
      <c r="G42" s="83"/>
      <c r="H42" s="29"/>
      <c r="I42" s="29" t="s">
        <v>313</v>
      </c>
      <c r="J42" s="85" t="s">
        <v>314</v>
      </c>
      <c r="K42" s="29"/>
      <c r="L42" s="29"/>
      <c r="M42">
        <f>Table134[[#This Row],[Time /hrs]]/8</f>
        <v>0</v>
      </c>
    </row>
    <row r="43" spans="2:13">
      <c r="B43" s="83"/>
      <c r="C43" s="83"/>
      <c r="D43" s="83"/>
      <c r="E43" s="83"/>
      <c r="F43" s="83"/>
      <c r="G43" s="83"/>
      <c r="H43" s="29"/>
      <c r="I43" s="29"/>
      <c r="J43" s="29"/>
      <c r="K43" s="29"/>
      <c r="L43" s="29"/>
      <c r="M43">
        <f>Table134[[#This Row],[Time /hrs]]/8</f>
        <v>0</v>
      </c>
    </row>
    <row r="44" spans="2:13">
      <c r="B44" s="83"/>
      <c r="C44" s="83"/>
      <c r="D44" s="83"/>
      <c r="E44" s="83"/>
      <c r="F44" s="83"/>
      <c r="G44" s="83"/>
      <c r="H44" s="102"/>
      <c r="I44" s="102"/>
      <c r="J44" s="102"/>
      <c r="K44" s="102"/>
      <c r="L44" s="102"/>
    </row>
    <row r="45" spans="2:13" ht="29.1">
      <c r="B45" s="83"/>
      <c r="C45" s="83"/>
      <c r="D45" s="83"/>
      <c r="E45" s="83"/>
      <c r="F45" s="83"/>
      <c r="G45" s="170"/>
      <c r="H45" s="29" t="s">
        <v>315</v>
      </c>
      <c r="I45" s="168" t="s">
        <v>316</v>
      </c>
      <c r="J45" s="169" t="s">
        <v>317</v>
      </c>
      <c r="K45" s="29"/>
      <c r="L45" s="29">
        <v>9</v>
      </c>
    </row>
    <row r="46" spans="2:13">
      <c r="B46" s="83"/>
      <c r="C46" s="83"/>
      <c r="D46" s="83"/>
      <c r="E46" s="83"/>
      <c r="F46" s="83"/>
      <c r="G46" s="170"/>
      <c r="H46" s="29" t="s">
        <v>318</v>
      </c>
      <c r="I46" s="168" t="s">
        <v>319</v>
      </c>
      <c r="J46" s="169" t="s">
        <v>320</v>
      </c>
      <c r="K46" s="29"/>
      <c r="L46" s="29">
        <v>21</v>
      </c>
    </row>
    <row r="47" spans="2:13" ht="29.1">
      <c r="B47" s="83"/>
      <c r="C47" s="83"/>
      <c r="D47" s="83"/>
      <c r="E47" s="83"/>
      <c r="F47" s="83"/>
      <c r="G47" s="170"/>
      <c r="H47" s="29" t="s">
        <v>311</v>
      </c>
      <c r="I47" s="168" t="s">
        <v>321</v>
      </c>
      <c r="J47" s="169" t="s">
        <v>322</v>
      </c>
      <c r="K47" s="29"/>
      <c r="L47" s="29">
        <v>15</v>
      </c>
    </row>
    <row r="48" spans="2:13" ht="29.1">
      <c r="B48" s="83"/>
      <c r="C48" s="83"/>
      <c r="D48" s="83"/>
      <c r="E48" s="83"/>
      <c r="F48" s="83"/>
      <c r="G48" s="170"/>
      <c r="H48" s="29" t="s">
        <v>323</v>
      </c>
      <c r="I48" s="168" t="s">
        <v>324</v>
      </c>
      <c r="J48" s="169" t="s">
        <v>325</v>
      </c>
      <c r="K48" s="29"/>
      <c r="L48" s="29">
        <v>5</v>
      </c>
    </row>
    <row r="49" spans="2:12">
      <c r="B49" s="83"/>
      <c r="C49" s="83"/>
      <c r="D49" s="83"/>
      <c r="E49" s="83"/>
      <c r="F49" s="83"/>
      <c r="G49" s="83"/>
      <c r="H49" s="171"/>
      <c r="I49" s="171"/>
      <c r="J49" s="171"/>
      <c r="K49" s="171"/>
      <c r="L49" s="171"/>
    </row>
    <row r="50" spans="2:12">
      <c r="B50" s="83"/>
      <c r="C50" s="83"/>
      <c r="D50" s="83"/>
      <c r="E50" s="83"/>
      <c r="F50" s="83"/>
      <c r="G50" s="83"/>
      <c r="H50" s="29"/>
      <c r="I50" s="29"/>
      <c r="J50" s="29"/>
      <c r="K50" s="29"/>
      <c r="L50" s="29"/>
    </row>
    <row r="51" spans="2:12" ht="15"/>
  </sheetData>
  <mergeCells count="1">
    <mergeCell ref="H5:I6"/>
  </mergeCells>
  <conditionalFormatting sqref="H8:L8 H9:I40 K10:L13">
    <cfRule type="expression" dxfId="41" priority="35">
      <formula>ROW()=CELL("Row")</formula>
    </cfRule>
  </conditionalFormatting>
  <conditionalFormatting sqref="H41:I41 K41:L41">
    <cfRule type="expression" dxfId="40" priority="34">
      <formula>ROW()=CELL("Row")</formula>
    </cfRule>
  </conditionalFormatting>
  <conditionalFormatting sqref="B8:G8">
    <cfRule type="expression" dxfId="39" priority="24">
      <formula>ROW()=CELL("Row")</formula>
    </cfRule>
  </conditionalFormatting>
  <conditionalFormatting sqref="K25:L26 K15:L16 J28:L29 L27">
    <cfRule type="expression" dxfId="38" priority="19">
      <formula>ROW()=CELL("Row")</formula>
    </cfRule>
  </conditionalFormatting>
  <conditionalFormatting sqref="K22:L24 L21 K18:L20 L17 K30:L32 K34:L39 L33 L14 L40">
    <cfRule type="expression" dxfId="37" priority="18">
      <formula>ROW()=CELL("Row")</formula>
    </cfRule>
  </conditionalFormatting>
  <conditionalFormatting sqref="J25:J26">
    <cfRule type="expression" dxfId="36" priority="17">
      <formula>ROW()=CELL("Row")</formula>
    </cfRule>
  </conditionalFormatting>
  <conditionalFormatting sqref="J21">
    <cfRule type="expression" dxfId="35" priority="16">
      <formula>ROW()=CELL("Row")</formula>
    </cfRule>
  </conditionalFormatting>
  <conditionalFormatting sqref="J14">
    <cfRule type="expression" dxfId="34" priority="15">
      <formula>ROW()=CELL("Row")</formula>
    </cfRule>
  </conditionalFormatting>
  <conditionalFormatting sqref="J17">
    <cfRule type="expression" dxfId="33" priority="14">
      <formula>ROW()=CELL("Row")</formula>
    </cfRule>
  </conditionalFormatting>
  <conditionalFormatting sqref="K21">
    <cfRule type="expression" dxfId="32" priority="13">
      <formula>ROW()=CELL("Row")</formula>
    </cfRule>
  </conditionalFormatting>
  <conditionalFormatting sqref="K17">
    <cfRule type="expression" dxfId="31" priority="12">
      <formula>ROW()=CELL("Row")</formula>
    </cfRule>
  </conditionalFormatting>
  <conditionalFormatting sqref="K33">
    <cfRule type="expression" dxfId="30" priority="11">
      <formula>ROW()=CELL("Row")</formula>
    </cfRule>
  </conditionalFormatting>
  <conditionalFormatting sqref="K14">
    <cfRule type="expression" dxfId="29" priority="10">
      <formula>ROW()=CELL("Row")</formula>
    </cfRule>
  </conditionalFormatting>
  <conditionalFormatting sqref="K40">
    <cfRule type="expression" dxfId="28" priority="9">
      <formula>ROW()=CELL("Row")</formula>
    </cfRule>
  </conditionalFormatting>
  <conditionalFormatting sqref="H27:I27 L27">
    <cfRule type="expression" dxfId="27" priority="8">
      <formula>ROW()=CELL("Row")</formula>
    </cfRule>
  </conditionalFormatting>
  <conditionalFormatting sqref="J27">
    <cfRule type="expression" dxfId="26" priority="6">
      <formula>ROW()=CELL("Row")</formula>
    </cfRule>
  </conditionalFormatting>
  <conditionalFormatting sqref="J27">
    <cfRule type="expression" dxfId="25" priority="5">
      <formula>ROW()=CELL("Row")</formula>
    </cfRule>
  </conditionalFormatting>
  <conditionalFormatting sqref="K9:L9">
    <cfRule type="expression" dxfId="24" priority="4">
      <formula>ROW()=CELL("Row")</formula>
    </cfRule>
  </conditionalFormatting>
  <conditionalFormatting sqref="H26:L26">
    <cfRule type="expression" dxfId="23" priority="3">
      <formula>ROW()=CELL("Row")</formula>
    </cfRule>
  </conditionalFormatting>
  <conditionalFormatting sqref="K27">
    <cfRule type="expression" dxfId="22" priority="2">
      <formula>ROW()=CELL("Row")</formula>
    </cfRule>
  </conditionalFormatting>
  <conditionalFormatting sqref="K27">
    <cfRule type="expression" dxfId="21" priority="1">
      <formula>ROW()=CELL("Row")</formula>
    </cfRule>
  </conditionalFormatting>
  <hyperlinks>
    <hyperlink ref="J10" r:id="rId1" xr:uid="{0B1B9717-DE6A-4732-9DBB-986454885F48}"/>
    <hyperlink ref="J12" r:id="rId2" xr:uid="{14A809E7-D7CF-4954-83E3-F8A2C1A36256}"/>
    <hyperlink ref="J13" r:id="rId3" xr:uid="{29C67A1A-F1E2-4C4E-AF93-C12B53704151}"/>
    <hyperlink ref="J15" r:id="rId4" xr:uid="{B2F812C8-6269-4EBA-87FE-93ADC1EFF383}"/>
    <hyperlink ref="J16" r:id="rId5" xr:uid="{40B36BEE-A53E-46AA-AD40-8041A6670945}"/>
    <hyperlink ref="J18" r:id="rId6" xr:uid="{31C66F62-CFAD-4A76-A353-BB987D35F7D3}"/>
    <hyperlink ref="J20" r:id="rId7" xr:uid="{7752FC3D-C078-4618-B893-742257D64CB8}"/>
    <hyperlink ref="J22" r:id="rId8" xr:uid="{93B45D46-717F-4559-8705-620CFD9FADEA}"/>
    <hyperlink ref="J23" r:id="rId9" xr:uid="{1A683443-9242-448B-9D14-12CB2673592E}"/>
    <hyperlink ref="J24" r:id="rId10" xr:uid="{AAC34EE1-22BA-4AAF-B92A-119DBFBE3654}"/>
    <hyperlink ref="J35" r:id="rId11" xr:uid="{639F1F04-CC94-4758-B77C-33F19D993DEF}"/>
    <hyperlink ref="J36" r:id="rId12" xr:uid="{001031B8-7484-4764-8360-027060EBD3EB}"/>
    <hyperlink ref="J37" r:id="rId13" xr:uid="{D6CA5C54-C980-4E61-BFF4-E2E62A9350BF}"/>
    <hyperlink ref="J38" r:id="rId14" xr:uid="{64810D8C-0465-4716-AC4B-6FF2D55E1751}"/>
    <hyperlink ref="J39" r:id="rId15" xr:uid="{F7865A6C-13DE-41A4-AC14-6AD982180B76}"/>
    <hyperlink ref="J31" r:id="rId16" xr:uid="{20B35E7F-7EBD-4360-A682-7562744E1642}"/>
    <hyperlink ref="J32" r:id="rId17" xr:uid="{A7A3FB7A-75F1-4932-9869-2B0DD649F06B}"/>
    <hyperlink ref="J11" r:id="rId18" xr:uid="{FF6C4E74-73CE-44ED-A9F2-C6E6A940877C}"/>
    <hyperlink ref="J19" r:id="rId19" xr:uid="{93D137A0-B715-40A9-977A-69FB272A93CF}"/>
    <hyperlink ref="J30" r:id="rId20" xr:uid="{6C12585A-F447-406E-8847-3B53B6748A1F}"/>
    <hyperlink ref="J26" r:id="rId21" display="Final Project" xr:uid="{FF99C05D-0AD4-4B41-9761-F0BA4CE6AFB7}"/>
    <hyperlink ref="J41" r:id="rId22" xr:uid="{B4AE9D7F-D2E4-4BE8-B7D0-4592C1960FE7}"/>
    <hyperlink ref="J42" r:id="rId23" xr:uid="{5FA0863E-5654-4BC7-A3F6-E2497956A21F}"/>
    <hyperlink ref="J45" r:id="rId24" xr:uid="{4EC2F136-E137-4D6F-B95D-B54A2968D4E3}"/>
    <hyperlink ref="J46" r:id="rId25" xr:uid="{85904B40-50D0-4E87-B751-5B3FEB13CC18}"/>
    <hyperlink ref="J47" r:id="rId26" xr:uid="{CB7A4732-1F05-456B-B1F1-B884AEB20053}"/>
    <hyperlink ref="J48" r:id="rId27" xr:uid="{761B9E54-A1B1-4027-91A6-3ABF1AA2D49E}"/>
  </hyperlinks>
  <pageMargins left="0.7" right="0.7" top="0.75" bottom="0.75" header="0.3" footer="0.3"/>
  <pageSetup orientation="portrait" r:id="rId28"/>
  <drawing r:id="rId29"/>
  <tableParts count="1">
    <tablePart r:id="rId3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EE954-30EF-4559-A1A0-D7F7D4E18530}">
  <dimension ref="E8:J21"/>
  <sheetViews>
    <sheetView workbookViewId="0">
      <selection activeCell="J9" sqref="J9"/>
    </sheetView>
  </sheetViews>
  <sheetFormatPr defaultRowHeight="15"/>
  <sheetData>
    <row r="8" spans="5:10">
      <c r="E8" s="172">
        <v>8</v>
      </c>
      <c r="G8" t="s">
        <v>326</v>
      </c>
      <c r="H8" t="s">
        <v>327</v>
      </c>
    </row>
    <row r="9" spans="5:10">
      <c r="E9" s="172"/>
      <c r="F9" t="s">
        <v>328</v>
      </c>
      <c r="G9">
        <v>250</v>
      </c>
      <c r="H9" t="s">
        <v>329</v>
      </c>
      <c r="J9">
        <v>70</v>
      </c>
    </row>
    <row r="10" spans="5:10">
      <c r="E10" s="172"/>
      <c r="H10">
        <v>31</v>
      </c>
    </row>
    <row r="11" spans="5:10">
      <c r="E11" s="172"/>
    </row>
    <row r="12" spans="5:10">
      <c r="E12" s="172"/>
    </row>
    <row r="13" spans="5:10">
      <c r="E13" s="172"/>
    </row>
    <row r="14" spans="5:10">
      <c r="E14" s="172"/>
    </row>
    <row r="15" spans="5:10">
      <c r="E15" s="172"/>
    </row>
    <row r="16" spans="5:10">
      <c r="E16" s="172"/>
    </row>
    <row r="17" spans="5:10">
      <c r="H17">
        <v>65</v>
      </c>
      <c r="J17">
        <v>80</v>
      </c>
    </row>
    <row r="20" spans="5:10">
      <c r="E20">
        <v>17</v>
      </c>
    </row>
    <row r="21" spans="5:10">
      <c r="E21">
        <v>18</v>
      </c>
      <c r="H21">
        <v>70</v>
      </c>
      <c r="J21">
        <v>120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5A569D-CB48-45F9-8E67-6CB58702EC1A}">
  <sheetPr codeName="Sheet5"/>
  <dimension ref="B1:BC45"/>
  <sheetViews>
    <sheetView showGridLines="0" workbookViewId="0">
      <selection activeCell="B14" sqref="B14"/>
    </sheetView>
  </sheetViews>
  <sheetFormatPr defaultColWidth="8.85546875" defaultRowHeight="14.45"/>
  <cols>
    <col min="1" max="1" width="2.28515625" bestFit="1" customWidth="1"/>
    <col min="2" max="2" width="23.42578125" customWidth="1"/>
    <col min="3" max="3" width="8.28515625" customWidth="1"/>
    <col min="4" max="4" width="14.42578125" customWidth="1"/>
    <col min="5" max="5" width="11.42578125" customWidth="1"/>
    <col min="6" max="6" width="12.42578125" customWidth="1"/>
    <col min="7" max="7" width="9.28515625" customWidth="1"/>
    <col min="8" max="8" width="5.85546875" customWidth="1"/>
    <col min="9" max="9" width="8.42578125" customWidth="1"/>
    <col min="10" max="10" width="14.85546875" customWidth="1"/>
    <col min="11" max="11" width="17.7109375" customWidth="1"/>
    <col min="12" max="12" width="12.85546875" customWidth="1"/>
    <col min="13" max="13" width="16.140625" style="127" customWidth="1"/>
    <col min="14" max="14" width="10.140625" style="127" customWidth="1"/>
    <col min="15" max="15" width="13" customWidth="1"/>
    <col min="16" max="16" width="22.140625" bestFit="1" customWidth="1"/>
    <col min="17" max="17" width="11.42578125" bestFit="1" customWidth="1"/>
    <col min="18" max="18" width="14.42578125" bestFit="1" customWidth="1"/>
    <col min="19" max="19" width="16.42578125" bestFit="1" customWidth="1"/>
    <col min="20" max="20" width="10.42578125" bestFit="1" customWidth="1"/>
    <col min="21" max="21" width="19.42578125" bestFit="1" customWidth="1"/>
    <col min="22" max="22" width="17.28515625" bestFit="1" customWidth="1"/>
    <col min="23" max="23" width="21.28515625" bestFit="1" customWidth="1"/>
    <col min="24" max="24" width="18.85546875" bestFit="1" customWidth="1"/>
    <col min="25" max="25" width="19.140625" bestFit="1" customWidth="1"/>
    <col min="26" max="26" width="11.42578125" bestFit="1" customWidth="1"/>
  </cols>
  <sheetData>
    <row r="1" spans="2:55" s="160" customFormat="1"/>
    <row r="2" spans="2:55" s="160" customFormat="1"/>
    <row r="3" spans="2:55" s="160" customFormat="1"/>
    <row r="4" spans="2:55">
      <c r="I4" s="128"/>
      <c r="J4" s="157" t="s">
        <v>330</v>
      </c>
      <c r="K4" s="157"/>
      <c r="M4" s="196" t="s">
        <v>331</v>
      </c>
      <c r="N4" s="196"/>
      <c r="O4" s="196"/>
      <c r="P4" s="196"/>
      <c r="Q4" s="196"/>
      <c r="R4" s="196"/>
      <c r="S4" s="196"/>
      <c r="T4" s="196"/>
      <c r="U4" s="196"/>
      <c r="V4" s="196"/>
      <c r="W4" s="196"/>
      <c r="X4" s="196"/>
      <c r="Y4" s="196"/>
      <c r="Z4" s="196"/>
      <c r="AA4" s="129" t="s">
        <v>332</v>
      </c>
    </row>
    <row r="5" spans="2:55" s="8" customFormat="1" ht="15" customHeight="1">
      <c r="D5"/>
      <c r="E5"/>
      <c r="F5"/>
      <c r="J5" s="158" t="s">
        <v>333</v>
      </c>
      <c r="K5" s="158"/>
      <c r="M5" s="130" t="str" cm="1">
        <f t="array" ref="M5:AR5">IF(TRANSPOSE(Content!H9:H40)="", "", TRANSPOSE(Content!H9:H40))</f>
        <v>Git</v>
      </c>
      <c r="N5" s="130" t="str">
        <v>Java</v>
      </c>
      <c r="O5" s="130" t="str">
        <v>Labs</v>
      </c>
      <c r="P5" s="130" t="str">
        <v>Cloud</v>
      </c>
      <c r="Q5" s="130" t="str">
        <v>Interview</v>
      </c>
      <c r="R5" s="130" t="str">
        <v>Exercise</v>
      </c>
      <c r="S5" s="130" t="str">
        <v>Testing</v>
      </c>
      <c r="T5" s="130" t="str">
        <v>Mokito</v>
      </c>
      <c r="U5" s="130" t="str">
        <v>Exercise</v>
      </c>
      <c r="V5" s="130" t="str">
        <v>Event Drivent</v>
      </c>
      <c r="W5" s="130" t="str">
        <v>Messagin</v>
      </c>
      <c r="X5" s="130" t="str">
        <v>Kafka</v>
      </c>
      <c r="Y5" s="130" t="str">
        <v>Exercise</v>
      </c>
      <c r="Z5" s="130" t="str">
        <v>Architect</v>
      </c>
      <c r="AA5" s="130" t="str">
        <v>Architect</v>
      </c>
      <c r="AB5" s="130" t="str">
        <v>Architect</v>
      </c>
      <c r="AC5" s="130" t="str">
        <v>Exercise</v>
      </c>
      <c r="AD5" s="130" t="str">
        <v>Project</v>
      </c>
      <c r="AE5" s="130" t="str">
        <v>Managment</v>
      </c>
      <c r="AF5" s="8" t="str">
        <v/>
      </c>
      <c r="AG5" s="8" t="str">
        <v/>
      </c>
      <c r="AH5" s="8" t="str">
        <v>Java</v>
      </c>
      <c r="AI5" s="8" t="str">
        <v>Java</v>
      </c>
      <c r="AJ5" s="8" t="str">
        <v>Java</v>
      </c>
      <c r="AK5" s="8" t="str">
        <v>Project</v>
      </c>
      <c r="AL5" s="8" t="str">
        <v xml:space="preserve">Optional Course </v>
      </c>
      <c r="AM5" s="8" t="str">
        <v>Data Management</v>
      </c>
      <c r="AN5" s="8" t="str">
        <v>Data Management</v>
      </c>
      <c r="AO5" s="8" t="str">
        <v>Data Base</v>
      </c>
      <c r="AP5" s="8" t="str">
        <v/>
      </c>
      <c r="AQ5" s="8" t="str">
        <v>Architect</v>
      </c>
      <c r="AR5" s="8" t="str">
        <v>Exercise</v>
      </c>
    </row>
    <row r="6" spans="2:55">
      <c r="J6" s="159" t="s">
        <v>334</v>
      </c>
      <c r="K6" s="159"/>
      <c r="M6" s="131" cm="1">
        <f t="array" ref="M6:AR6">IF(TRANSPOSE(Content!L9:L40)="","",TRANSPOSE(Content!L9:L40))</f>
        <v>1</v>
      </c>
      <c r="N6" s="131">
        <v>32</v>
      </c>
      <c r="O6" s="132">
        <v>10</v>
      </c>
      <c r="P6" s="132">
        <v>40</v>
      </c>
      <c r="Q6" s="132">
        <v>10</v>
      </c>
      <c r="R6" s="132">
        <v>16</v>
      </c>
      <c r="S6" s="132">
        <v>24</v>
      </c>
      <c r="T6" s="132">
        <v>4</v>
      </c>
      <c r="U6" s="132">
        <v>16</v>
      </c>
      <c r="V6" s="132">
        <v>8</v>
      </c>
      <c r="W6" s="132">
        <v>12</v>
      </c>
      <c r="X6" s="132">
        <v>32</v>
      </c>
      <c r="Y6" s="132">
        <v>24</v>
      </c>
      <c r="Z6" s="132">
        <v>2.5</v>
      </c>
      <c r="AA6" s="132">
        <v>2.5</v>
      </c>
      <c r="AB6" s="132">
        <v>24</v>
      </c>
      <c r="AC6" s="29">
        <v>32</v>
      </c>
      <c r="AD6" s="29">
        <v>96</v>
      </c>
      <c r="AE6" s="29">
        <v>1</v>
      </c>
      <c r="AF6" t="str">
        <v/>
      </c>
      <c r="AG6" t="str">
        <v/>
      </c>
      <c r="AH6">
        <v>1</v>
      </c>
      <c r="AI6">
        <v>0.5</v>
      </c>
      <c r="AJ6">
        <v>0.5</v>
      </c>
      <c r="AK6">
        <v>60</v>
      </c>
      <c r="AL6" t="str">
        <v>-</v>
      </c>
      <c r="AM6">
        <v>12</v>
      </c>
      <c r="AN6">
        <v>4</v>
      </c>
      <c r="AO6">
        <v>16</v>
      </c>
      <c r="AP6">
        <v>30</v>
      </c>
      <c r="AQ6">
        <v>48</v>
      </c>
      <c r="AR6">
        <v>32</v>
      </c>
    </row>
    <row r="7" spans="2:55">
      <c r="D7" s="197" t="s">
        <v>335</v>
      </c>
      <c r="E7" s="197" t="s">
        <v>336</v>
      </c>
      <c r="F7" s="197" t="s">
        <v>337</v>
      </c>
      <c r="G7" s="197" t="s">
        <v>85</v>
      </c>
      <c r="H7" s="133"/>
      <c r="I7" s="133" t="s">
        <v>96</v>
      </c>
      <c r="M7" s="131">
        <f>M6/8</f>
        <v>0.125</v>
      </c>
      <c r="N7" s="131">
        <f t="shared" ref="N7:AS7" si="0">N6/8</f>
        <v>4</v>
      </c>
      <c r="O7" s="132">
        <f t="shared" si="0"/>
        <v>1.25</v>
      </c>
      <c r="P7" s="132">
        <f t="shared" si="0"/>
        <v>5</v>
      </c>
      <c r="Q7" s="132">
        <f t="shared" si="0"/>
        <v>1.25</v>
      </c>
      <c r="R7" s="132">
        <f t="shared" si="0"/>
        <v>2</v>
      </c>
      <c r="S7" s="132">
        <f t="shared" si="0"/>
        <v>3</v>
      </c>
      <c r="T7" s="132">
        <f t="shared" si="0"/>
        <v>0.5</v>
      </c>
      <c r="U7" s="132">
        <f t="shared" si="0"/>
        <v>2</v>
      </c>
      <c r="V7" s="132">
        <f t="shared" si="0"/>
        <v>1</v>
      </c>
      <c r="W7" s="132">
        <f t="shared" si="0"/>
        <v>1.5</v>
      </c>
      <c r="X7" s="132">
        <f t="shared" si="0"/>
        <v>4</v>
      </c>
      <c r="Y7" s="132">
        <f t="shared" si="0"/>
        <v>3</v>
      </c>
      <c r="Z7" s="132">
        <f t="shared" si="0"/>
        <v>0.3125</v>
      </c>
      <c r="AA7" s="132">
        <f t="shared" si="0"/>
        <v>0.3125</v>
      </c>
      <c r="AB7" s="132">
        <f t="shared" si="0"/>
        <v>3</v>
      </c>
      <c r="AC7" s="132">
        <f t="shared" si="0"/>
        <v>4</v>
      </c>
      <c r="AD7" s="132">
        <f t="shared" si="0"/>
        <v>12</v>
      </c>
      <c r="AE7" s="132">
        <f t="shared" si="0"/>
        <v>0.125</v>
      </c>
      <c r="AF7" s="132" t="e">
        <f t="shared" si="0"/>
        <v>#VALUE!</v>
      </c>
      <c r="AG7" s="132"/>
      <c r="AH7" s="132"/>
      <c r="AI7" s="132">
        <f t="shared" si="0"/>
        <v>6.25E-2</v>
      </c>
      <c r="AJ7" s="132">
        <f t="shared" si="0"/>
        <v>6.25E-2</v>
      </c>
      <c r="AK7" s="132">
        <f t="shared" si="0"/>
        <v>7.5</v>
      </c>
      <c r="AL7" s="132" t="e">
        <f t="shared" si="0"/>
        <v>#VALUE!</v>
      </c>
      <c r="AM7" s="132"/>
      <c r="AN7" s="132">
        <f t="shared" si="0"/>
        <v>0.5</v>
      </c>
      <c r="AO7" s="132">
        <f t="shared" si="0"/>
        <v>2</v>
      </c>
      <c r="AP7" s="132">
        <f t="shared" si="0"/>
        <v>3.75</v>
      </c>
      <c r="AQ7" s="132">
        <f t="shared" si="0"/>
        <v>6</v>
      </c>
      <c r="AR7" s="132">
        <f t="shared" si="0"/>
        <v>4</v>
      </c>
      <c r="AS7" s="132">
        <f t="shared" si="0"/>
        <v>0</v>
      </c>
      <c r="AT7" s="132"/>
      <c r="AU7" s="132"/>
    </row>
    <row r="8" spans="2:55">
      <c r="D8" s="197"/>
      <c r="E8" s="197"/>
      <c r="F8" s="197"/>
      <c r="G8" s="197"/>
      <c r="H8" s="199" t="s">
        <v>338</v>
      </c>
      <c r="I8" s="199" t="s">
        <v>25</v>
      </c>
      <c r="J8" s="134"/>
      <c r="K8" s="134"/>
      <c r="L8" s="134"/>
      <c r="M8" s="131"/>
      <c r="N8" s="131"/>
      <c r="O8" s="131"/>
      <c r="P8" s="131"/>
      <c r="Q8" s="131"/>
      <c r="R8" s="131"/>
      <c r="S8" s="131"/>
      <c r="T8" s="131"/>
      <c r="U8" s="131"/>
      <c r="V8" s="131"/>
      <c r="W8" s="131"/>
      <c r="X8" s="131"/>
      <c r="Y8" s="131"/>
      <c r="Z8" s="131"/>
      <c r="AA8" s="132"/>
      <c r="AB8" s="132"/>
      <c r="AC8" s="29"/>
      <c r="AD8" s="29"/>
      <c r="AE8" s="29"/>
    </row>
    <row r="9" spans="2:55">
      <c r="D9" s="197"/>
      <c r="E9" s="197"/>
      <c r="F9" s="197"/>
      <c r="G9" s="197"/>
      <c r="H9" s="199"/>
      <c r="I9" s="199"/>
      <c r="J9" s="134"/>
      <c r="K9" s="134"/>
      <c r="L9" s="134"/>
    </row>
    <row r="10" spans="2:55" ht="48">
      <c r="C10" s="135" t="s">
        <v>79</v>
      </c>
      <c r="D10" s="198"/>
      <c r="E10" s="198"/>
      <c r="F10" s="198"/>
      <c r="G10" s="198"/>
      <c r="H10" s="200"/>
      <c r="I10" s="199"/>
      <c r="J10" s="136" t="s">
        <v>339</v>
      </c>
      <c r="K10" s="134" t="s">
        <v>340</v>
      </c>
      <c r="L10" s="134" t="s">
        <v>341</v>
      </c>
    </row>
    <row r="11" spans="2:55" ht="15" customHeight="1">
      <c r="B11" s="137" t="s">
        <v>342</v>
      </c>
      <c r="C11" s="15"/>
      <c r="D11" s="16"/>
      <c r="E11" s="16">
        <v>45195</v>
      </c>
      <c r="F11" s="16">
        <f>WORKDAY.INTL(E11,$I11,1,holidays!A:A)</f>
        <v>45223</v>
      </c>
      <c r="G11" s="70" cm="1">
        <f t="array" ref="G11">SUM(IF((M11:AE11="f"),LEN(M11:AE11),0))</f>
        <v>0</v>
      </c>
      <c r="H11" s="138" cm="1">
        <f t="array" ref="H11">SUM(LEN(M11:AB11))</f>
        <v>3</v>
      </c>
      <c r="I11" s="83" cm="1">
        <f t="array" ref="I11">SUM(IF((M11:AF11="x")+(M11:AF11="f"),$M$7:$AF$7,0))</f>
        <v>19.75</v>
      </c>
      <c r="J11" s="167">
        <f>IF(G11=0,0,(G11/H11))</f>
        <v>0</v>
      </c>
      <c r="K11" s="139" t="str" cm="1">
        <f t="array" ref="K11">IF(E11="","",INDEX(M$5:Z$5,MATCH(TRUE,INDEX((M11:Z11="x"),),0)))</f>
        <v>Architect</v>
      </c>
      <c r="L11" s="16" t="e" cm="1">
        <f t="array" ref="L11">IF(E11="","",WORKDAY.INTL(E11,SUM(IF((M11:AB11="f"),$M$7:$AE$7,0))+INDEX($M$7:$AB$7,MATCH(TRUE,INDEX((M11:AE11="x"),),0)),1,holidays!$A$4:$A$1503))</f>
        <v>#N/A</v>
      </c>
      <c r="M11" s="140"/>
      <c r="N11" s="140"/>
      <c r="O11" s="141"/>
      <c r="P11" s="141"/>
      <c r="Q11" s="141"/>
      <c r="R11" s="141"/>
      <c r="S11" s="141"/>
      <c r="T11" s="141"/>
      <c r="U11" s="141"/>
      <c r="V11" s="141"/>
      <c r="W11" s="141"/>
      <c r="X11" s="141"/>
      <c r="Y11" s="141"/>
      <c r="Z11" s="141" t="s">
        <v>75</v>
      </c>
      <c r="AA11" s="141" t="s">
        <v>75</v>
      </c>
      <c r="AB11" s="15" t="s">
        <v>75</v>
      </c>
      <c r="AC11" t="s">
        <v>75</v>
      </c>
      <c r="AD11" t="s">
        <v>75</v>
      </c>
      <c r="AE11" t="s">
        <v>75</v>
      </c>
    </row>
    <row r="12" spans="2:55" ht="15" customHeight="1">
      <c r="B12" s="142" t="s">
        <v>343</v>
      </c>
      <c r="C12" s="15" t="s">
        <v>344</v>
      </c>
      <c r="D12" s="143"/>
      <c r="E12" s="143">
        <v>45202</v>
      </c>
      <c r="F12" s="16">
        <f>WORKDAY.INTL(E12,$I12,1,holidays!A:A)</f>
        <v>45226</v>
      </c>
      <c r="G12" s="70" cm="1">
        <f t="array" ref="G12">SUM(IF((M12:AB12="f"),LEN(M12:AB12),0))</f>
        <v>0</v>
      </c>
      <c r="H12" s="138" cm="1">
        <f t="array" ref="H12">SUM(LEN(M12:AB12))</f>
        <v>9</v>
      </c>
      <c r="I12" s="83" cm="1">
        <f t="array" ref="I12">SUM(IF((M12:AF12="x")+(M12:AF12="f"),$M$7:$AF$7,0))</f>
        <v>17.5</v>
      </c>
      <c r="J12" s="167">
        <f t="shared" ref="J12:J18" si="1">IF(G12=0,0,(G12/H12))</f>
        <v>0</v>
      </c>
      <c r="K12" s="139" t="str" cm="1">
        <f t="array" ref="K12">IF(E12="","",INDEX(M$5:Z$5,MATCH(TRUE,INDEX((M12:Z12="x"),),0)))</f>
        <v>Git</v>
      </c>
      <c r="L12" s="16" cm="1">
        <f t="array" ref="L12">IF(E12="","",WORKDAY.INTL(E12,SUM(IF((M12:AB12="f"),$M$7:$AB$7,0))+INDEX($M$7:$AB$7,MATCH(TRUE,INDEX((M12:AB12="x"),),0)),1,holidays!$A$4:$A$1503))</f>
        <v>45202</v>
      </c>
      <c r="M12" s="37" t="s">
        <v>75</v>
      </c>
      <c r="N12" s="37" t="s">
        <v>75</v>
      </c>
      <c r="O12" s="37" t="s">
        <v>75</v>
      </c>
      <c r="P12" s="37" t="s">
        <v>75</v>
      </c>
      <c r="Q12" s="37"/>
      <c r="R12" s="37" t="s">
        <v>75</v>
      </c>
      <c r="S12" s="37"/>
      <c r="T12" s="37" t="s">
        <v>75</v>
      </c>
      <c r="U12" s="37" t="s">
        <v>75</v>
      </c>
      <c r="V12" s="37" t="s">
        <v>75</v>
      </c>
      <c r="W12" s="47" t="s">
        <v>75</v>
      </c>
      <c r="X12" s="47"/>
      <c r="Y12" s="37"/>
      <c r="Z12" s="37"/>
      <c r="AA12" s="47"/>
      <c r="AB12" s="47"/>
      <c r="AC12" s="47"/>
      <c r="AD12" s="37"/>
      <c r="AE12" s="37" t="s">
        <v>75</v>
      </c>
      <c r="AF12" s="37" t="s">
        <v>50</v>
      </c>
      <c r="AG12" s="37"/>
      <c r="AH12" s="53"/>
      <c r="AI12" s="37"/>
      <c r="AJ12" s="37"/>
      <c r="AK12" s="37"/>
      <c r="AL12" s="37"/>
      <c r="AM12" s="37"/>
      <c r="AN12" s="37"/>
      <c r="AO12" s="37"/>
      <c r="AP12" s="37"/>
      <c r="AQ12" s="89"/>
      <c r="AR12" s="77"/>
      <c r="AS12" s="96"/>
      <c r="AT12" s="83"/>
      <c r="AU12" s="83"/>
      <c r="AV12" s="83"/>
      <c r="AW12" s="83"/>
      <c r="AX12" s="83"/>
      <c r="AY12" s="83"/>
      <c r="AZ12" s="83"/>
      <c r="BA12" s="83"/>
      <c r="BB12" s="83"/>
      <c r="BC12" s="83"/>
    </row>
    <row r="13" spans="2:55" ht="15">
      <c r="B13" s="146" t="s">
        <v>345</v>
      </c>
      <c r="C13" s="15"/>
      <c r="D13" s="143"/>
      <c r="E13" s="143">
        <v>45209</v>
      </c>
      <c r="F13" s="16">
        <f>WORKDAY.INTL(E13,$I13,1,holidays!A:A)</f>
        <v>45232</v>
      </c>
      <c r="G13" s="70" cm="1">
        <f t="array" ref="G13">SUM(IF((M13:AB13="f"),LEN(M13:AB13),0))</f>
        <v>0</v>
      </c>
      <c r="H13" s="138" cm="1">
        <f t="array" ref="H13">SUM(LEN(M13:AB13))</f>
        <v>9</v>
      </c>
      <c r="I13" s="83" cm="1">
        <f t="array" ref="I13">SUM(IF((M13:AB13="x")+(M13:AB13="f"),$M$7:$AB$7,0))</f>
        <v>17.375</v>
      </c>
      <c r="J13" s="167">
        <f>IF(G13=0,0,(G13/H13))</f>
        <v>0</v>
      </c>
      <c r="K13" s="139" t="str" cm="1">
        <f t="array" ref="K13">IF(E13="","",INDEX(M$5:Z$5,MATCH(TRUE,INDEX((M13:Z13="x"),),0)))</f>
        <v>Git</v>
      </c>
      <c r="L13" s="16" cm="1">
        <f t="array" ref="L13">IF(E13="","",WORKDAY.INTL(E13,SUM(IF((M13:AB13="f"),$M$7:$AB$7,0))+INDEX($M$7:$AB$7,MATCH(TRUE,INDEX((M13:AB13="x"),),0)),1,holidays!$A$4:$A$1503))</f>
        <v>45209</v>
      </c>
      <c r="M13" s="37" t="s">
        <v>75</v>
      </c>
      <c r="N13" s="37" t="s">
        <v>75</v>
      </c>
      <c r="O13" s="37" t="s">
        <v>75</v>
      </c>
      <c r="P13" s="37" t="s">
        <v>75</v>
      </c>
      <c r="Q13" s="37"/>
      <c r="R13" s="37" t="s">
        <v>75</v>
      </c>
      <c r="S13" s="37"/>
      <c r="T13" s="37" t="s">
        <v>75</v>
      </c>
      <c r="U13" s="37" t="s">
        <v>75</v>
      </c>
      <c r="V13" s="37" t="s">
        <v>75</v>
      </c>
      <c r="W13" s="47" t="s">
        <v>75</v>
      </c>
      <c r="X13" s="47"/>
      <c r="Y13" s="37"/>
      <c r="Z13" s="37"/>
      <c r="AA13" s="47"/>
      <c r="AB13" s="47"/>
      <c r="AC13" s="47"/>
      <c r="AD13" s="37"/>
      <c r="AE13" s="37" t="s">
        <v>75</v>
      </c>
    </row>
    <row r="14" spans="2:55" ht="15">
      <c r="B14" s="147" t="s">
        <v>92</v>
      </c>
      <c r="C14" s="15"/>
      <c r="D14" s="143"/>
      <c r="E14" s="143">
        <v>45253</v>
      </c>
      <c r="F14" s="16">
        <f>WORKDAY.INTL(E14,$I14,1,holidays!A:A)</f>
        <v>45279</v>
      </c>
      <c r="G14" s="70" cm="1">
        <f t="array" ref="G14">SUM(IF((M14:AB14="f"),LEN(M14:AB14),0))</f>
        <v>4</v>
      </c>
      <c r="H14" s="138" cm="1">
        <f t="array" ref="H14">SUM(LEN(M14:AB14))</f>
        <v>9</v>
      </c>
      <c r="I14" s="83" cm="1">
        <f t="array" ref="I14">SUM(IF((M14:AB14="x")+(M14:AB14="f"),$M$7:$AB$7,0))</f>
        <v>17.375</v>
      </c>
      <c r="J14" s="167">
        <f>IF(G14=0,0,(G14/H14))</f>
        <v>0.44444444444444442</v>
      </c>
      <c r="K14" s="139" t="str" cm="1">
        <f t="array" ref="K14">IF(E14="","",INDEX(M$5:Z$5,MATCH(TRUE,INDEX((M14:Z14="x"),),0)))</f>
        <v>Exercise</v>
      </c>
      <c r="L14" s="16" cm="1">
        <f t="array" ref="L14">IF(E14="","",WORKDAY.INTL(E14,SUM(IF((M14:AB14="f"),$M$7:$AB$7,0))+INDEX($M$7:$AB$7,MATCH(TRUE,INDEX((M14:AB14="x"),),0)),1,holidays!$A$4:$A$1503))</f>
        <v>45271</v>
      </c>
      <c r="M14" s="37" t="s">
        <v>346</v>
      </c>
      <c r="N14" s="37" t="s">
        <v>346</v>
      </c>
      <c r="O14" s="37" t="s">
        <v>346</v>
      </c>
      <c r="P14" s="37" t="s">
        <v>346</v>
      </c>
      <c r="Q14" s="37"/>
      <c r="R14" s="37" t="s">
        <v>75</v>
      </c>
      <c r="S14" s="37"/>
      <c r="T14" s="37" t="s">
        <v>75</v>
      </c>
      <c r="U14" s="37" t="s">
        <v>75</v>
      </c>
      <c r="V14" s="37" t="s">
        <v>75</v>
      </c>
      <c r="W14" s="47" t="s">
        <v>75</v>
      </c>
      <c r="X14" s="47"/>
      <c r="Y14" s="37"/>
      <c r="Z14" s="37"/>
      <c r="AA14" s="47"/>
      <c r="AB14" s="47"/>
      <c r="AC14" s="47"/>
      <c r="AD14" s="37"/>
      <c r="AE14" s="37" t="s">
        <v>75</v>
      </c>
    </row>
    <row r="15" spans="2:55">
      <c r="B15" s="148"/>
      <c r="C15" s="15"/>
      <c r="D15" s="16"/>
      <c r="E15" s="16"/>
      <c r="F15" s="16">
        <f>WORKDAY.INTL(E15,$I15,1,holidays!A:A)</f>
        <v>0</v>
      </c>
      <c r="G15" s="70" cm="1">
        <f t="array" ref="G15">SUM(IF((M15:AB15="f"),LEN(M15:AB15),0))</f>
        <v>0</v>
      </c>
      <c r="H15" s="138" cm="1">
        <f t="array" ref="H15">SUM(LEN(M15:AB15))</f>
        <v>0</v>
      </c>
      <c r="I15" s="83" cm="1">
        <f t="array" ref="I15">SUM(IF((M15:AB15="x")+(M15:AB15="f"),$M$7:$AB$7,0))</f>
        <v>0</v>
      </c>
      <c r="J15" s="167">
        <f t="shared" si="1"/>
        <v>0</v>
      </c>
      <c r="K15" s="139" t="str" cm="1">
        <f t="array" ref="K15">IF(E15="","",INDEX(M$5:Z$5,MATCH(TRUE,INDEX((M15:Z15="x"),),0)))</f>
        <v/>
      </c>
      <c r="L15" s="16" t="str" cm="1">
        <f t="array" ref="L15">IF(E15="","",WORKDAY.INTL(E15,SUM(IF((M15:AB15="f"),$M$7:$AB$7,0))+INDEX($M$7:$AB$7,MATCH(TRUE,INDEX((M15:AB15="x"),),0)),1,holidays!$A$4:$A$1503))</f>
        <v/>
      </c>
      <c r="M15" s="144"/>
      <c r="N15" s="144"/>
      <c r="O15" s="145"/>
      <c r="P15" s="145"/>
      <c r="Q15" s="145"/>
      <c r="R15" s="145"/>
      <c r="S15" s="145"/>
      <c r="T15" s="145"/>
      <c r="U15" s="145"/>
      <c r="V15" s="145"/>
      <c r="W15" s="145"/>
      <c r="X15" s="145"/>
      <c r="Y15" s="15"/>
      <c r="Z15" s="15"/>
      <c r="AA15" s="15"/>
      <c r="AB15" s="15"/>
    </row>
    <row r="16" spans="2:55">
      <c r="B16" s="147"/>
      <c r="C16" s="15"/>
      <c r="D16" s="149"/>
      <c r="E16" s="16"/>
      <c r="F16" s="16">
        <f>WORKDAY.INTL(E16,$I16,1,holidays!A:A)</f>
        <v>0</v>
      </c>
      <c r="G16" s="70" cm="1">
        <f t="array" ref="G16">SUM(IF((M16:AB16="f"),LEN(M16:AB16),0))</f>
        <v>0</v>
      </c>
      <c r="H16" s="138" cm="1">
        <f t="array" ref="H16">SUM(LEN(M16:AB16))</f>
        <v>0</v>
      </c>
      <c r="I16" s="83" cm="1">
        <f t="array" ref="I16">SUM(IF((M16:AB16="x")+(M16:AB16="f"),$M$7:$AB$7,0))</f>
        <v>0</v>
      </c>
      <c r="J16" s="167">
        <f t="shared" si="1"/>
        <v>0</v>
      </c>
      <c r="K16" s="139" t="str" cm="1">
        <f t="array" ref="K16">IF(E16="","",INDEX(M$5:Z$5,MATCH(TRUE,INDEX((M16:Z16="x"),),0)))</f>
        <v/>
      </c>
      <c r="L16" s="16" t="str" cm="1">
        <f t="array" ref="L16">IF(E16="","",WORKDAY.INTL(E16,SUM(IF((M16:AB16="f"),$M$7:$AB$7,0))+INDEX($M$7:$AB$7,MATCH(TRUE,INDEX((M16:AB16="x"),),0)),1,holidays!$A$4:$A$1503))</f>
        <v/>
      </c>
      <c r="M16" s="140"/>
      <c r="N16" s="140"/>
      <c r="O16" s="141"/>
      <c r="P16" s="141"/>
      <c r="Q16" s="141"/>
      <c r="R16" s="141"/>
      <c r="S16" s="141"/>
      <c r="T16" s="141"/>
      <c r="U16" s="141"/>
      <c r="V16" s="141"/>
      <c r="W16" s="141"/>
      <c r="X16" s="141"/>
      <c r="Y16" s="141"/>
      <c r="Z16" s="141"/>
      <c r="AA16" s="141"/>
      <c r="AB16" s="15"/>
    </row>
    <row r="17" spans="2:28" ht="18.600000000000001">
      <c r="B17" s="150"/>
      <c r="C17" s="15"/>
      <c r="D17" s="16"/>
      <c r="E17" s="16"/>
      <c r="F17" s="16">
        <f>WORKDAY.INTL(E17,$I17,1,holidays!A:A)</f>
        <v>0</v>
      </c>
      <c r="G17" s="70" cm="1">
        <f t="array" ref="G17">SUM(IF((M17:AB17="f"),LEN(M17:AB17),0))</f>
        <v>0</v>
      </c>
      <c r="H17" s="138" cm="1">
        <f t="array" ref="H17">SUM(LEN(M17:AB17))</f>
        <v>0</v>
      </c>
      <c r="I17" s="83" cm="1">
        <f t="array" ref="I17">SUM(IF((M17:AB17="x")+(M17:AB17="f"),$M$7:$AB$7,0))</f>
        <v>0</v>
      </c>
      <c r="J17" s="167">
        <f t="shared" si="1"/>
        <v>0</v>
      </c>
      <c r="K17" s="139" t="str" cm="1">
        <f t="array" ref="K17">IF(E17="","",INDEX(M$5:Z$5,MATCH(TRUE,INDEX((M17:Z17="x"),),0)))</f>
        <v/>
      </c>
      <c r="L17" s="16" t="str" cm="1">
        <f t="array" ref="L17">IF(E17="","",WORKDAY.INTL(E17,SUM(IF((M17:AB17="f"),$M$7:$AB$7,0))+INDEX($M$7:$AB$7,MATCH(TRUE,INDEX((M17:AB17="x"),),0)),1,holidays!$A$4:$A$1503))</f>
        <v/>
      </c>
      <c r="M17" s="144"/>
      <c r="N17" s="144"/>
      <c r="O17" s="145"/>
      <c r="P17" s="145"/>
      <c r="Q17" s="145"/>
      <c r="R17" s="145"/>
      <c r="S17" s="145"/>
      <c r="T17" s="145"/>
      <c r="U17" s="145"/>
      <c r="V17" s="145"/>
      <c r="W17" s="145"/>
      <c r="X17" s="145"/>
      <c r="Y17" s="15"/>
      <c r="Z17" s="15"/>
      <c r="AA17" s="15"/>
      <c r="AB17" s="15"/>
    </row>
    <row r="18" spans="2:28" ht="18.600000000000001">
      <c r="B18" s="150"/>
      <c r="C18" s="15"/>
      <c r="D18" s="16"/>
      <c r="E18" s="16"/>
      <c r="F18" s="16">
        <f>WORKDAY.INTL(E18,$I18,1,holidays!A:A)</f>
        <v>0</v>
      </c>
      <c r="G18" s="70" cm="1">
        <f t="array" ref="G18">SUM(IF((M18:AB18="f"),LEN(M18:AB18),0))</f>
        <v>0</v>
      </c>
      <c r="H18" s="138" cm="1">
        <f t="array" ref="H18">SUM(LEN(M18:AB18))</f>
        <v>0</v>
      </c>
      <c r="I18" s="83" cm="1">
        <f t="array" ref="I18">SUM(IF((M18:AB18="x")+(M18:AB18="f"),$M$7:$AB$7,0))</f>
        <v>0</v>
      </c>
      <c r="J18" s="167">
        <f t="shared" si="1"/>
        <v>0</v>
      </c>
      <c r="K18" s="139" t="str" cm="1">
        <f t="array" ref="K18">IF(E18="","",INDEX(M$5:Z$5,MATCH(TRUE,INDEX((M18:Z18="x"),),0)))</f>
        <v/>
      </c>
      <c r="L18" s="16" t="str" cm="1">
        <f t="array" ref="L18">IF(E18="","",WORKDAY.INTL(E18,SUM(IF((M18:AB18="f"),$M$7:$AB$7,0))+INDEX($M$7:$AB$7,MATCH(TRUE,INDEX((M18:AB18="x"),),0)),1,holidays!$A$4:$A$1503))</f>
        <v/>
      </c>
      <c r="M18" s="144"/>
      <c r="N18" s="144"/>
      <c r="O18" s="145"/>
      <c r="P18" s="145"/>
      <c r="Q18" s="145"/>
      <c r="R18" s="145"/>
      <c r="S18" s="145"/>
      <c r="T18" s="145"/>
      <c r="U18" s="145"/>
      <c r="V18" s="145"/>
      <c r="W18" s="145"/>
      <c r="X18" s="145"/>
      <c r="Y18" s="15"/>
      <c r="Z18" s="15"/>
      <c r="AA18" s="15"/>
      <c r="AB18" s="15"/>
    </row>
    <row r="21" spans="2:28">
      <c r="I21" s="151"/>
      <c r="O21" s="126"/>
      <c r="P21" s="126"/>
      <c r="Q21" s="126"/>
      <c r="R21" s="126"/>
    </row>
    <row r="22" spans="2:28" ht="17.45">
      <c r="K22" s="155" t="str" cm="1">
        <f t="array" ref="K22:X22">INDEX(M$5:Z$5,)</f>
        <v>Git</v>
      </c>
      <c r="L22" t="str">
        <v>Java</v>
      </c>
      <c r="M22" s="127" t="str">
        <v>Labs</v>
      </c>
      <c r="N22" s="127" t="str">
        <v>Cloud</v>
      </c>
      <c r="O22" s="126" t="str">
        <v>Interview</v>
      </c>
      <c r="P22" s="152" t="str">
        <v>Exercise</v>
      </c>
      <c r="Q22" s="126" t="str">
        <v>Testing</v>
      </c>
      <c r="R22" t="str">
        <v>Mokito</v>
      </c>
      <c r="S22" t="str">
        <v>Exercise</v>
      </c>
      <c r="T22" t="str">
        <v>Event Drivent</v>
      </c>
      <c r="U22" t="str">
        <v>Messagin</v>
      </c>
      <c r="V22" t="str">
        <v>Kafka</v>
      </c>
      <c r="W22" t="str">
        <v>Exercise</v>
      </c>
      <c r="X22" t="str">
        <v>Architect</v>
      </c>
    </row>
    <row r="24" spans="2:28">
      <c r="P24" s="153"/>
    </row>
    <row r="25" spans="2:28" ht="15">
      <c r="M25" s="23" t="s">
        <v>75</v>
      </c>
      <c r="N25"/>
      <c r="O25" s="126"/>
    </row>
    <row r="26" spans="2:28" ht="15">
      <c r="M26" s="23" t="s">
        <v>75</v>
      </c>
    </row>
    <row r="27" spans="2:28" ht="15">
      <c r="L27" s="154"/>
      <c r="M27" s="23" t="s">
        <v>75</v>
      </c>
    </row>
    <row r="28" spans="2:28" ht="15">
      <c r="M28" s="23" t="s">
        <v>75</v>
      </c>
    </row>
    <row r="29" spans="2:28" ht="15">
      <c r="J29" s="126"/>
      <c r="K29" s="126"/>
      <c r="M29" s="23"/>
    </row>
    <row r="30" spans="2:28" ht="15">
      <c r="K30" s="126"/>
      <c r="M30" s="23" t="s">
        <v>75</v>
      </c>
    </row>
    <row r="31" spans="2:28" ht="15">
      <c r="M31" s="23"/>
    </row>
    <row r="32" spans="2:28" ht="15">
      <c r="M32" s="23" t="s">
        <v>75</v>
      </c>
    </row>
    <row r="33" spans="13:13" ht="15">
      <c r="M33" s="23" t="s">
        <v>75</v>
      </c>
    </row>
    <row r="34" spans="13:13" ht="15">
      <c r="M34" s="25" t="s">
        <v>75</v>
      </c>
    </row>
    <row r="35" spans="13:13" ht="15">
      <c r="M35" s="25" t="s">
        <v>75</v>
      </c>
    </row>
    <row r="36" spans="13:13" ht="15">
      <c r="M36" s="23" t="s">
        <v>75</v>
      </c>
    </row>
    <row r="37" spans="13:13" ht="15">
      <c r="M37" s="23" t="s">
        <v>75</v>
      </c>
    </row>
    <row r="38" spans="13:13" ht="15">
      <c r="M38" s="25" t="s">
        <v>75</v>
      </c>
    </row>
    <row r="39" spans="13:13" ht="15">
      <c r="M39" s="25" t="s">
        <v>75</v>
      </c>
    </row>
    <row r="40" spans="13:13" ht="15">
      <c r="M40" s="25" t="s">
        <v>75</v>
      </c>
    </row>
    <row r="41" spans="13:13" ht="15">
      <c r="M41" s="23" t="s">
        <v>75</v>
      </c>
    </row>
    <row r="42" spans="13:13" ht="15">
      <c r="M42" s="23" t="s">
        <v>75</v>
      </c>
    </row>
    <row r="43" spans="13:13" ht="15">
      <c r="M43" s="23" t="s">
        <v>75</v>
      </c>
    </row>
    <row r="44" spans="13:13" ht="15">
      <c r="M44" s="23"/>
    </row>
    <row r="45" spans="13:13" ht="15"/>
  </sheetData>
  <mergeCells count="7">
    <mergeCell ref="M4:Z4"/>
    <mergeCell ref="D7:D10"/>
    <mergeCell ref="E7:E10"/>
    <mergeCell ref="F7:F10"/>
    <mergeCell ref="G7:G10"/>
    <mergeCell ref="H8:H10"/>
    <mergeCell ref="I8:I10"/>
  </mergeCells>
  <conditionalFormatting sqref="B14:B18">
    <cfRule type="expression" dxfId="2" priority="3">
      <formula>ROW()=CELL("Row")</formula>
    </cfRule>
  </conditionalFormatting>
  <conditionalFormatting sqref="M5:AE5">
    <cfRule type="expression" dxfId="1" priority="2">
      <formula>ROW()=CELL("Row")</formula>
    </cfRule>
  </conditionalFormatting>
  <conditionalFormatting sqref="B11">
    <cfRule type="expression" dxfId="0" priority="1">
      <formula>ROW()=CELL("Row")</formula>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BCDF7-2CEA-4681-8486-213240833778}">
  <sheetPr codeName="Sheet3"/>
  <dimension ref="A1:C33"/>
  <sheetViews>
    <sheetView showGridLines="0" workbookViewId="0">
      <selection sqref="A1:XFD3"/>
    </sheetView>
  </sheetViews>
  <sheetFormatPr defaultColWidth="8.85546875" defaultRowHeight="14.45"/>
  <cols>
    <col min="1" max="1" width="16.85546875" style="64" customWidth="1"/>
  </cols>
  <sheetData>
    <row r="1" spans="1:3" s="160" customFormat="1"/>
    <row r="2" spans="1:3" s="160" customFormat="1"/>
    <row r="3" spans="1:3" s="160" customFormat="1"/>
    <row r="4" spans="1:3">
      <c r="A4" s="59">
        <v>44907</v>
      </c>
      <c r="C4" t="s">
        <v>347</v>
      </c>
    </row>
    <row r="5" spans="1:3">
      <c r="A5" s="60" t="s">
        <v>348</v>
      </c>
      <c r="C5" t="s">
        <v>349</v>
      </c>
    </row>
    <row r="6" spans="1:3">
      <c r="A6" s="60" t="s">
        <v>350</v>
      </c>
      <c r="C6" t="s">
        <v>351</v>
      </c>
    </row>
    <row r="7" spans="1:3">
      <c r="A7" s="60" t="s">
        <v>352</v>
      </c>
      <c r="C7" t="s">
        <v>353</v>
      </c>
    </row>
    <row r="8" spans="1:3">
      <c r="A8" s="60" t="s">
        <v>354</v>
      </c>
      <c r="C8" t="s">
        <v>355</v>
      </c>
    </row>
    <row r="9" spans="1:3">
      <c r="A9" s="60" t="s">
        <v>356</v>
      </c>
      <c r="C9" t="s">
        <v>357</v>
      </c>
    </row>
    <row r="10" spans="1:3">
      <c r="A10" s="60" t="s">
        <v>358</v>
      </c>
    </row>
    <row r="11" spans="1:3">
      <c r="A11" s="60" t="s">
        <v>359</v>
      </c>
    </row>
    <row r="12" spans="1:3">
      <c r="A12" s="60" t="s">
        <v>360</v>
      </c>
    </row>
    <row r="13" spans="1:3">
      <c r="A13" s="59">
        <v>44927</v>
      </c>
    </row>
    <row r="14" spans="1:3">
      <c r="A14" s="61">
        <v>45079</v>
      </c>
    </row>
    <row r="15" spans="1:3">
      <c r="A15" s="62" t="s">
        <v>361</v>
      </c>
    </row>
    <row r="16" spans="1:3">
      <c r="A16" s="61">
        <v>45081</v>
      </c>
    </row>
    <row r="17" spans="1:1">
      <c r="A17" s="61">
        <v>45111</v>
      </c>
    </row>
    <row r="18" spans="1:1">
      <c r="A18" s="61">
        <v>44931</v>
      </c>
    </row>
    <row r="19" spans="1:1">
      <c r="A19" s="61">
        <v>45204</v>
      </c>
    </row>
    <row r="20" spans="1:1">
      <c r="A20" s="62" t="s">
        <v>362</v>
      </c>
    </row>
    <row r="21" spans="1:1">
      <c r="A21" s="63" t="s">
        <v>363</v>
      </c>
    </row>
    <row r="22" spans="1:1">
      <c r="A22" s="61">
        <v>44968</v>
      </c>
    </row>
    <row r="23" spans="1:1">
      <c r="A23" s="61">
        <v>44996</v>
      </c>
    </row>
    <row r="24" spans="1:1">
      <c r="A24" s="62" t="s">
        <v>364</v>
      </c>
    </row>
    <row r="25" spans="1:1">
      <c r="A25" s="61">
        <v>45272</v>
      </c>
    </row>
    <row r="26" spans="1:1">
      <c r="A26" s="62" t="s">
        <v>365</v>
      </c>
    </row>
    <row r="27" spans="1:1">
      <c r="A27" s="62" t="s">
        <v>366</v>
      </c>
    </row>
    <row r="28" spans="1:1">
      <c r="A28" s="62" t="s">
        <v>367</v>
      </c>
    </row>
    <row r="29" spans="1:1">
      <c r="A29" s="62" t="s">
        <v>368</v>
      </c>
    </row>
    <row r="30" spans="1:1">
      <c r="A30" s="62" t="s">
        <v>369</v>
      </c>
    </row>
    <row r="31" spans="1:1">
      <c r="A31" s="62" t="s">
        <v>370</v>
      </c>
    </row>
    <row r="32" spans="1:1">
      <c r="A32" s="62" t="s">
        <v>371</v>
      </c>
    </row>
    <row r="33" spans="1:1">
      <c r="A33" s="62" t="s">
        <v>372</v>
      </c>
    </row>
  </sheetData>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10274ac0-ecde-476f-96c7-aed46c937068">
      <Terms xmlns="http://schemas.microsoft.com/office/infopath/2007/PartnerControls"/>
    </lcf76f155ced4ddcb4097134ff3c332f>
    <SharedWithUsers xmlns="ab6fc1f5-cc1a-473b-b84b-feb00e681e97">
      <UserInfo>
        <DisplayName>Panola Madrigal, Jose Alfredo</DisplayName>
        <AccountId>29</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3079FAC3BC560F46BD7E65061963A253" ma:contentTypeVersion="10" ma:contentTypeDescription="Create a new document." ma:contentTypeScope="" ma:versionID="c0d0cc575b1f0059ff1450b05c8a60c5">
  <xsd:schema xmlns:xsd="http://www.w3.org/2001/XMLSchema" xmlns:xs="http://www.w3.org/2001/XMLSchema" xmlns:p="http://schemas.microsoft.com/office/2006/metadata/properties" xmlns:ns2="10274ac0-ecde-476f-96c7-aed46c937068" xmlns:ns3="ab6fc1f5-cc1a-473b-b84b-feb00e681e97" targetNamespace="http://schemas.microsoft.com/office/2006/metadata/properties" ma:root="true" ma:fieldsID="91acdb7a902d9c6b4f23d02edb13f3b7" ns2:_="" ns3:_="">
    <xsd:import namespace="10274ac0-ecde-476f-96c7-aed46c937068"/>
    <xsd:import namespace="ab6fc1f5-cc1a-473b-b84b-feb00e681e97"/>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0274ac0-ecde-476f-96c7-aed46c93706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Image Tags" ma:readOnly="false" ma:fieldId="{5cf76f15-5ced-4ddc-b409-7134ff3c332f}" ma:taxonomyMulti="true" ma:sspId="798d900d-0589-4081-96eb-513de833a507" ma:termSetId="09814cd3-568e-fe90-9814-8d621ff8fb84" ma:anchorId="fba54fb3-c3e1-fe81-a776-ca4b69148c4d" ma:open="true" ma:isKeyword="false">
      <xsd:complexType>
        <xsd:sequence>
          <xsd:element ref="pc:Terms" minOccurs="0" maxOccurs="1"/>
        </xsd:sequence>
      </xsd:complex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bjectDetectorVersions" ma:index="17"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b6fc1f5-cc1a-473b-b84b-feb00e681e97"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5DEBCB3-55BA-4F39-B090-DE56D5C55C2A}"/>
</file>

<file path=customXml/itemProps2.xml><?xml version="1.0" encoding="utf-8"?>
<ds:datastoreItem xmlns:ds="http://schemas.openxmlformats.org/officeDocument/2006/customXml" ds:itemID="{49BCFD66-F545-4ED9-B55C-FB5DD547FDA4}"/>
</file>

<file path=customXml/itemProps3.xml><?xml version="1.0" encoding="utf-8"?>
<ds:datastoreItem xmlns:ds="http://schemas.openxmlformats.org/officeDocument/2006/customXml" ds:itemID="{1A3C518D-972F-4F6D-B42D-03CA02CEDC7B}"/>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Yanez Ramirez, Adrian</cp:lastModifiedBy>
  <cp:revision/>
  <dcterms:created xsi:type="dcterms:W3CDTF">2023-01-06T15:05:52Z</dcterms:created>
  <dcterms:modified xsi:type="dcterms:W3CDTF">2023-11-23T22:34:33Z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0x0101003079FAC3BC560F46BD7E65061963A253</vt:lpwstr>
  </property>
  <property fmtid="{D5CDD505-2E9C-101B-9397-08002B2CF9AE}" pid="3" name="xd_ProgID">
    <vt:lpwstr/>
  </property>
  <property fmtid="{D5CDD505-2E9C-101B-9397-08002B2CF9AE}" pid="4" name="ComplianceAssetId">
    <vt:lpwstr/>
  </property>
  <property fmtid="{D5CDD505-2E9C-101B-9397-08002B2CF9AE}" pid="5" name="TemplateUrl">
    <vt:lpwstr/>
  </property>
  <property fmtid="{D5CDD505-2E9C-101B-9397-08002B2CF9AE}" pid="6" name="_ExtendedDescription">
    <vt:lpwstr/>
  </property>
  <property fmtid="{D5CDD505-2E9C-101B-9397-08002B2CF9AE}" pid="7" name="TriggerFlowInfo">
    <vt:lpwstr/>
  </property>
  <property fmtid="{D5CDD505-2E9C-101B-9397-08002B2CF9AE}" pid="8" name="xd_Signature">
    <vt:bool>false</vt:bool>
  </property>
  <property fmtid="{D5CDD505-2E9C-101B-9397-08002B2CF9AE}" pid="9" name="Order">
    <vt:r8>600</vt:r8>
  </property>
  <property fmtid="{D5CDD505-2E9C-101B-9397-08002B2CF9AE}" pid="10" name="MSIP_Label_ea60d57e-af5b-4752-ac57-3e4f28ca11dc_Enabled">
    <vt:lpwstr>true</vt:lpwstr>
  </property>
  <property fmtid="{D5CDD505-2E9C-101B-9397-08002B2CF9AE}" pid="11" name="MSIP_Label_ea60d57e-af5b-4752-ac57-3e4f28ca11dc_SetDate">
    <vt:lpwstr>2023-02-09T23:27:01Z</vt:lpwstr>
  </property>
  <property fmtid="{D5CDD505-2E9C-101B-9397-08002B2CF9AE}" pid="12" name="MSIP_Label_ea60d57e-af5b-4752-ac57-3e4f28ca11dc_Method">
    <vt:lpwstr>Standard</vt:lpwstr>
  </property>
  <property fmtid="{D5CDD505-2E9C-101B-9397-08002B2CF9AE}" pid="13" name="MSIP_Label_ea60d57e-af5b-4752-ac57-3e4f28ca11dc_Name">
    <vt:lpwstr>ea60d57e-af5b-4752-ac57-3e4f28ca11dc</vt:lpwstr>
  </property>
  <property fmtid="{D5CDD505-2E9C-101B-9397-08002B2CF9AE}" pid="14" name="MSIP_Label_ea60d57e-af5b-4752-ac57-3e4f28ca11dc_SiteId">
    <vt:lpwstr>36da45f1-dd2c-4d1f-af13-5abe46b99921</vt:lpwstr>
  </property>
  <property fmtid="{D5CDD505-2E9C-101B-9397-08002B2CF9AE}" pid="15" name="MSIP_Label_ea60d57e-af5b-4752-ac57-3e4f28ca11dc_ActionId">
    <vt:lpwstr>3390220e-27ef-40e7-9d0d-5a1127c9d853</vt:lpwstr>
  </property>
  <property fmtid="{D5CDD505-2E9C-101B-9397-08002B2CF9AE}" pid="16" name="MSIP_Label_ea60d57e-af5b-4752-ac57-3e4f28ca11dc_ContentBits">
    <vt:lpwstr>0</vt:lpwstr>
  </property>
  <property fmtid="{D5CDD505-2E9C-101B-9397-08002B2CF9AE}" pid="17" name="MediaServiceImageTags">
    <vt:lpwstr/>
  </property>
</Properties>
</file>